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FEBE88-7C51-4237-8179-BB705DDC77EE}" xr6:coauthVersionLast="47" xr6:coauthVersionMax="47" xr10:uidLastSave="{00000000-0000-0000-0000-000000000000}"/>
  <bookViews>
    <workbookView minimized="1" xWindow="9225" yWindow="-12090" windowWidth="17235" windowHeight="8715" xr2:uid="{00000000-000D-0000-FFFF-FFFF00000000}"/>
  </bookViews>
  <sheets>
    <sheet name="(템플릿) 요구사항 정의서" sheetId="14" r:id="rId1"/>
    <sheet name="(참고) 과업범위 ID 정의" sheetId="15" r:id="rId2"/>
    <sheet name="(참고) 요구사항유형분류" sheetId="16" r:id="rId3"/>
  </sheets>
  <externalReferences>
    <externalReference r:id="rId4"/>
  </externalReferences>
  <definedNames>
    <definedName name="_xlnm._FilterDatabase" localSheetId="0" hidden="1">'(템플릿) 요구사항 정의서'!$B$5:$O$65</definedName>
    <definedName name="_xlnm.Print_Titles" localSheetId="0">'(템플릿) 요구사항 정의서'!$4:$5</definedName>
    <definedName name="sample">#REF!</definedName>
    <definedName name="항목1">[1]Sheet3!$A$5:$A$13</definedName>
  </definedNames>
  <calcPr calcId="191028" iterateDelta="1E-4"/>
  <customWorkbookViews>
    <customWorkbookView name="Administrator - 사용자 보기" guid="{90F78D87-EAF1-442D-8607-BA6EA41BEDB1}" mergeInterval="0" personalView="1" maximized="1" xWindow="1" yWindow="1" windowWidth="1680" windowHeight="817" activeSheetId="3"/>
    <customWorkbookView name="hjkwon - 사용자 보기" guid="{D1518748-EFBB-4EBA-A5AA-9C86DEE6A257}" mergeInterval="0" personalView="1" maximized="1" xWindow="1" yWindow="1" windowWidth="1392" windowHeight="802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4" l="1"/>
  <c r="C8" i="14"/>
  <c r="C9" i="14"/>
  <c r="C10" i="14"/>
  <c r="C11" i="14"/>
  <c r="C12" i="14"/>
  <c r="C13" i="14"/>
  <c r="C14" i="14"/>
  <c r="C15" i="14"/>
  <c r="C6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  <author>SQI</author>
    <author>강성호</author>
    <author>KT</author>
  </authors>
  <commentList>
    <comment ref="C4" authorId="0" shapeId="0" xr:uid="{00000000-0006-0000-0000-000001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요구사항ID 부여 기준에 따라 작성
 - level1(영어)+ level2(숫자2자리) + level3(숫자2자리)+Seq No(숫자 3자리)
- 예시 : USR-01-01-001</t>
        </r>
      </text>
    </comment>
    <comment ref="E4" authorId="1" shapeId="0" xr:uid="{00000000-0006-0000-0000-000002000000}">
      <text>
        <r>
          <rPr>
            <b/>
            <sz val="10"/>
            <color indexed="81"/>
            <rFont val="맑은 고딕"/>
            <family val="3"/>
            <charset val="129"/>
            <scheme val="major"/>
          </rPr>
          <t>전체 요구사항을 업무 Level 3단계로 분류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J4" authorId="0" shapeId="0" xr:uid="{00000000-0006-0000-0000-000003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요구사항 유형분류
 - 1,2차 로 분류함</t>
        </r>
      </text>
    </comment>
    <comment ref="L4" authorId="2" shapeId="0" xr:uid="{00000000-0006-0000-0000-000004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요구사항별 고객이 느끼는 중요도
   1.상
   2.중
   3.하 
*.상 : 반드시 완벽하게 구현하여야 하는 요구사항
*.중 : 업무를 위해 필요하기는 하나, 극적으로 잘 만들 필요는 없음
*.하 : 희망사항이거나 자원이 허락되는 기간에 조치할수 있음</t>
        </r>
      </text>
    </comment>
    <comment ref="M4" authorId="2" shapeId="0" xr:uid="{00000000-0006-0000-0000-000005000000}">
      <text>
        <r>
          <rPr>
            <b/>
            <sz val="10"/>
            <color indexed="81"/>
            <rFont val="맑은 고딕"/>
            <family val="3"/>
            <charset val="129"/>
            <scheme val="major"/>
          </rPr>
          <t>수용여부
   - 수용
   - 보류
   - 기각(관련근거에 기각문서 기록)
   - 삭제</t>
        </r>
      </text>
    </comment>
    <comment ref="N4" authorId="2" shapeId="0" xr:uid="{00000000-0006-0000-0000-000006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요구사항근거
 - 출처, 요구부서,요구자 기록</t>
        </r>
      </text>
    </comment>
    <comment ref="O4" authorId="0" shapeId="0" xr:uid="{00000000-0006-0000-0000-000007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요구관리상태 : 베이스라인 설정이후 요구관리 상태
  - 신규(최초 정의시)
  - 변경
  - 보류
  - 삭제
  - 추가</t>
        </r>
      </text>
    </comment>
    <comment ref="J5" authorId="3" shapeId="0" xr:uid="{00000000-0006-0000-0000-000008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요구사항 1차분류
 1. S/W 요구사항
 2. 외부 I/F 요구사항
 3. 품질 요구사항
 4. 기타 요구사항</t>
        </r>
      </text>
    </comment>
    <comment ref="K5" authorId="3" shapeId="0" xr:uid="{00000000-0006-0000-0000-000009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요구사항 2차 분류
 1.S/W 요구사항
   - 기능
   - 데이터
 2.외부 I/F 요구사항
   - H/W I/F
   - S/W I/F
   - 커뮤티케이션 I/F
 3.품질 요구사항
   - 보안성
   - 신뢰성
   - 사용성
   - 효율성
   - 유지보수성
   - 이식성
 4.기타 요구사항 
   - 기타</t>
        </r>
      </text>
    </comment>
  </commentList>
</comments>
</file>

<file path=xl/sharedStrings.xml><?xml version="1.0" encoding="utf-8"?>
<sst xmlns="http://schemas.openxmlformats.org/spreadsheetml/2006/main" count="376" uniqueCount="211">
  <si>
    <t>[프로젝트명] 요구사항 정의서</t>
    <phoneticPr fontId="1" type="noConversion"/>
  </si>
  <si>
    <t>문서버전</t>
    <phoneticPr fontId="1" type="noConversion"/>
  </si>
  <si>
    <t>작성일자</t>
    <phoneticPr fontId="1" type="noConversion"/>
  </si>
  <si>
    <t>작 성 자</t>
    <phoneticPr fontId="1" type="noConversion"/>
  </si>
  <si>
    <t>Seq</t>
  </si>
  <si>
    <r>
      <t xml:space="preserve">요구사항 ID
</t>
    </r>
    <r>
      <rPr>
        <b/>
        <i/>
        <sz val="12"/>
        <color theme="0"/>
        <rFont val="맑은 고딕"/>
        <family val="3"/>
        <charset val="129"/>
      </rPr>
      <t>nn(대)+nn(중)+nn(소)+nnn(일련번호)</t>
    </r>
    <phoneticPr fontId="1" type="noConversion"/>
  </si>
  <si>
    <t>과업종류</t>
    <phoneticPr fontId="1" type="noConversion"/>
  </si>
  <si>
    <t>과업범위</t>
  </si>
  <si>
    <t>요구정의명</t>
  </si>
  <si>
    <t>고객 요구사항 상세 내용</t>
    <phoneticPr fontId="1" type="noConversion"/>
  </si>
  <si>
    <t>요구사항유형분류</t>
  </si>
  <si>
    <t>중요도</t>
    <phoneticPr fontId="1" type="noConversion"/>
  </si>
  <si>
    <t>수용
여부</t>
  </si>
  <si>
    <t>요구사항근거</t>
  </si>
  <si>
    <t>요구관리
상태</t>
  </si>
  <si>
    <t>업무(대)</t>
  </si>
  <si>
    <t>기능(중)</t>
  </si>
  <si>
    <t>구성(소)</t>
  </si>
  <si>
    <t>1차</t>
    <phoneticPr fontId="1" type="noConversion"/>
  </si>
  <si>
    <t>2차</t>
  </si>
  <si>
    <t>(예시)</t>
    <phoneticPr fontId="1" type="noConversion"/>
  </si>
  <si>
    <t>신규</t>
  </si>
  <si>
    <t>서버구축</t>
  </si>
  <si>
    <t>서비스전체</t>
  </si>
  <si>
    <t>소프트웨어 아키텍처 설계</t>
    <phoneticPr fontId="1" type="noConversion"/>
  </si>
  <si>
    <t>ㅇ 3-Tier 소프트웨어 아키텍처 구현
  - 확장성과 안정성을 위해 Front-end, Back-end, DB 3-Tier 아키텍처 설계 및 구현</t>
    <phoneticPr fontId="1" type="noConversion"/>
  </si>
  <si>
    <t>S/W요구사항</t>
  </si>
  <si>
    <t>S/W</t>
  </si>
  <si>
    <t>상</t>
  </si>
  <si>
    <t>수용</t>
  </si>
  <si>
    <t>ㅇ 아키텍처 회의
('22-04-00)</t>
    <phoneticPr fontId="1" type="noConversion"/>
  </si>
  <si>
    <t>신규</t>
    <phoneticPr fontId="1" type="noConversion"/>
  </si>
  <si>
    <t>공통</t>
  </si>
  <si>
    <t>코드관리</t>
  </si>
  <si>
    <t>소스코드</t>
  </si>
  <si>
    <t>Gitlab 소스코드 관리</t>
    <phoneticPr fontId="1" type="noConversion"/>
  </si>
  <si>
    <t xml:space="preserve">ㅇ Gitlab 소스코드 관리 </t>
    <phoneticPr fontId="1" type="noConversion"/>
  </si>
  <si>
    <t>기타 요구사항</t>
  </si>
  <si>
    <t>커뮤니케이션</t>
  </si>
  <si>
    <t>프로젝트 관리</t>
  </si>
  <si>
    <t>프로젝트 진척도 관리</t>
    <phoneticPr fontId="1" type="noConversion"/>
  </si>
  <si>
    <t>ㅇ Redmine 프로젝트 진척도 관리</t>
    <phoneticPr fontId="1" type="noConversion"/>
  </si>
  <si>
    <t>사용자 기능</t>
  </si>
  <si>
    <t>로그인</t>
    <phoneticPr fontId="1" type="noConversion"/>
  </si>
  <si>
    <t>로그인 기능</t>
    <phoneticPr fontId="1" type="noConversion"/>
  </si>
  <si>
    <t>ㅇ 로그인 방식 변경 
   - 이메일, 비밀번호 로그인 방식
   - 기존 회원 가입 및 승인 절차 제외
   - 최초 URL 접속시 로그인 화면을 통해서만 접속 가능하도록 변경</t>
  </si>
  <si>
    <t>기능</t>
  </si>
  <si>
    <t>로그인</t>
  </si>
  <si>
    <t>암호화</t>
    <phoneticPr fontId="1" type="noConversion"/>
  </si>
  <si>
    <t>개인정보 암호화</t>
    <phoneticPr fontId="1" type="noConversion"/>
  </si>
  <si>
    <t xml:space="preserve">ㅇ 인증정보 비밀번호 암호화 
  - SHA-256(해쉬함수) 이상 알고리즘 적용
ㅇ 고유식별번호, 금융정보, 위치정보 암호화
  - 블럭암호(AES-128, SEED, ARIA) 알고리즘 적용 </t>
    <phoneticPr fontId="1" type="noConversion"/>
  </si>
  <si>
    <t>보안성</t>
  </si>
  <si>
    <t>중</t>
  </si>
  <si>
    <t>로그아웃</t>
  </si>
  <si>
    <t>로그아웃 기능</t>
    <phoneticPr fontId="1" type="noConversion"/>
  </si>
  <si>
    <t>ㅇ 해당 시스템에서 로그아웃
   - '로그아웃' 버튼 클릭 시 시스템에서 로그아웃 가능
   - 로그인 화면으로 이동</t>
  </si>
  <si>
    <t>하</t>
  </si>
  <si>
    <t>메인화면</t>
  </si>
  <si>
    <t>Home</t>
  </si>
  <si>
    <t>메인화면으로 이동</t>
    <phoneticPr fontId="1" type="noConversion"/>
  </si>
  <si>
    <t>ㅇ 사용자페이지의 메인화면으로 이동
   - 모든 화면에서 HOME 버튼 클릭 시 메인화면으로 이동 가능</t>
    <phoneticPr fontId="1" type="noConversion"/>
  </si>
  <si>
    <t>관리자 기능</t>
  </si>
  <si>
    <t>관리자 페이지</t>
  </si>
  <si>
    <t>관리자페이지로 이동</t>
    <phoneticPr fontId="1" type="noConversion"/>
  </si>
  <si>
    <t>ㅇ 사용자페이지에서 관리자페이지로 이동
   - 관리자 권한을 가진 사용자만 가능</t>
    <phoneticPr fontId="1" type="noConversion"/>
  </si>
  <si>
    <t>메인화면 구성</t>
    <phoneticPr fontId="1" type="noConversion"/>
  </si>
  <si>
    <t>ㅇ Head영역
ㅇ Navigation 영역
ㅇ Main 영역</t>
  </si>
  <si>
    <t>기타</t>
  </si>
  <si>
    <t>ㅇ UI 검토 회의
('22-04-00)</t>
  </si>
  <si>
    <t>통합검색</t>
  </si>
  <si>
    <t>통합검색 내 전체검색 기능</t>
    <phoneticPr fontId="1" type="noConversion"/>
  </si>
  <si>
    <t>ㅇ 통합검색 화면에서 '전체검색' 탭 선택
   - 화면 상단의 '통합검색' 버튼 클릭 시 '통합검색' 화면으로 이동
   - 키워드 입력 후 '검색' 버튼 클릭 시 전체검색 (default)</t>
    <phoneticPr fontId="1" type="noConversion"/>
  </si>
  <si>
    <t>Level 1</t>
    <phoneticPr fontId="1" type="noConversion"/>
  </si>
  <si>
    <t>Level 1-영어</t>
    <phoneticPr fontId="1" type="noConversion"/>
  </si>
  <si>
    <t>Level 2</t>
    <phoneticPr fontId="1" type="noConversion"/>
  </si>
  <si>
    <t>Level 2 - 숫자</t>
    <phoneticPr fontId="1" type="noConversion"/>
  </si>
  <si>
    <t>Level 3</t>
    <phoneticPr fontId="1" type="noConversion"/>
  </si>
  <si>
    <t>Level 3 - 숫자</t>
    <phoneticPr fontId="1" type="noConversion"/>
  </si>
  <si>
    <t>업무분류별 순번</t>
    <phoneticPr fontId="1" type="noConversion"/>
  </si>
  <si>
    <t>비고</t>
    <phoneticPr fontId="1" type="noConversion"/>
  </si>
  <si>
    <t>사용자 기능</t>
    <phoneticPr fontId="1" type="noConversion"/>
  </si>
  <si>
    <t>USR</t>
    <phoneticPr fontId="1" type="noConversion"/>
  </si>
  <si>
    <t>01</t>
    <phoneticPr fontId="1" type="noConversion"/>
  </si>
  <si>
    <t>관리자 기능</t>
    <phoneticPr fontId="1" type="noConversion"/>
  </si>
  <si>
    <t>ADM</t>
    <phoneticPr fontId="1" type="noConversion"/>
  </si>
  <si>
    <t>로그아웃</t>
    <phoneticPr fontId="1" type="noConversion"/>
  </si>
  <si>
    <t>02</t>
  </si>
  <si>
    <t>서버구축</t>
    <phoneticPr fontId="1" type="noConversion"/>
  </si>
  <si>
    <t>SRV</t>
    <phoneticPr fontId="1" type="noConversion"/>
  </si>
  <si>
    <t>03</t>
  </si>
  <si>
    <t>API 개선</t>
    <phoneticPr fontId="1" type="noConversion"/>
  </si>
  <si>
    <t>API</t>
    <phoneticPr fontId="1" type="noConversion"/>
  </si>
  <si>
    <t>통합검색</t>
    <phoneticPr fontId="1" type="noConversion"/>
  </si>
  <si>
    <t>04</t>
  </si>
  <si>
    <t>UI/UX 개선</t>
    <phoneticPr fontId="1" type="noConversion"/>
  </si>
  <si>
    <t>UI</t>
    <phoneticPr fontId="1" type="noConversion"/>
  </si>
  <si>
    <t>프로젝트 관리</t>
    <phoneticPr fontId="1" type="noConversion"/>
  </si>
  <si>
    <t>05</t>
  </si>
  <si>
    <t>사용자 페이지</t>
  </si>
  <si>
    <t>외부연동</t>
    <phoneticPr fontId="1" type="noConversion"/>
  </si>
  <si>
    <t>INT</t>
    <phoneticPr fontId="1" type="noConversion"/>
  </si>
  <si>
    <t>게시판</t>
  </si>
  <si>
    <t>06</t>
  </si>
  <si>
    <t>Help</t>
  </si>
  <si>
    <t>07</t>
  </si>
  <si>
    <t>08</t>
  </si>
  <si>
    <t>프로젝트</t>
  </si>
  <si>
    <t>권한관리</t>
  </si>
  <si>
    <t>09</t>
  </si>
  <si>
    <t>산출물</t>
  </si>
  <si>
    <t>이력관리</t>
  </si>
  <si>
    <t>10</t>
  </si>
  <si>
    <t>통계</t>
  </si>
  <si>
    <t>11</t>
  </si>
  <si>
    <t>12</t>
  </si>
  <si>
    <t>비기능 요구사항</t>
  </si>
  <si>
    <t>13</t>
  </si>
  <si>
    <t>공지사항</t>
  </si>
  <si>
    <t>14</t>
  </si>
  <si>
    <t>묻고답하기</t>
  </si>
  <si>
    <t>Git Client</t>
  </si>
  <si>
    <t>15</t>
  </si>
  <si>
    <t>16</t>
  </si>
  <si>
    <t>17</t>
  </si>
  <si>
    <t>기관/부서관리</t>
  </si>
  <si>
    <t>18</t>
  </si>
  <si>
    <t>19</t>
  </si>
  <si>
    <t>20</t>
  </si>
  <si>
    <t>WAS서버</t>
  </si>
  <si>
    <t>21</t>
  </si>
  <si>
    <t>DB서버</t>
  </si>
  <si>
    <t>22</t>
  </si>
  <si>
    <t>성능</t>
  </si>
  <si>
    <t>23</t>
  </si>
  <si>
    <t>산출물</t>
    <phoneticPr fontId="1" type="noConversion"/>
  </si>
  <si>
    <t>24</t>
  </si>
  <si>
    <t>요구사항구분</t>
    <phoneticPr fontId="1" type="noConversion"/>
  </si>
  <si>
    <t>내용</t>
    <phoneticPr fontId="1" type="noConversion"/>
  </si>
  <si>
    <t>과업종류구분</t>
    <phoneticPr fontId="1" type="noConversion"/>
  </si>
  <si>
    <t>1차 분류</t>
    <phoneticPr fontId="1" type="noConversion"/>
  </si>
  <si>
    <t>S/W요구사항</t>
    <phoneticPr fontId="1" type="noConversion"/>
  </si>
  <si>
    <t>2차 분류</t>
    <phoneticPr fontId="1" type="noConversion"/>
  </si>
  <si>
    <t>기능</t>
    <phoneticPr fontId="1" type="noConversion"/>
  </si>
  <si>
    <t>현행유지</t>
    <phoneticPr fontId="1" type="noConversion"/>
  </si>
  <si>
    <t>외부I/F 요구사항</t>
    <phoneticPr fontId="1" type="noConversion"/>
  </si>
  <si>
    <t>데이터</t>
    <phoneticPr fontId="1" type="noConversion"/>
  </si>
  <si>
    <t>고도화</t>
    <phoneticPr fontId="1" type="noConversion"/>
  </si>
  <si>
    <t>품질 요구사항</t>
    <phoneticPr fontId="1" type="noConversion"/>
  </si>
  <si>
    <t>H/W</t>
    <phoneticPr fontId="1" type="noConversion"/>
  </si>
  <si>
    <t>기타 요구사항</t>
    <phoneticPr fontId="1" type="noConversion"/>
  </si>
  <si>
    <t>I/F</t>
    <phoneticPr fontId="1" type="noConversion"/>
  </si>
  <si>
    <t>제외</t>
    <phoneticPr fontId="1" type="noConversion"/>
  </si>
  <si>
    <t>S/W</t>
    <phoneticPr fontId="1" type="noConversion"/>
  </si>
  <si>
    <t>커뮤니케이션</t>
    <phoneticPr fontId="1" type="noConversion"/>
  </si>
  <si>
    <t>보안성</t>
    <phoneticPr fontId="1" type="noConversion"/>
  </si>
  <si>
    <t>신뢰성</t>
    <phoneticPr fontId="1" type="noConversion"/>
  </si>
  <si>
    <t>사용성</t>
    <phoneticPr fontId="1" type="noConversion"/>
  </si>
  <si>
    <t>효율성</t>
    <phoneticPr fontId="1" type="noConversion"/>
  </si>
  <si>
    <t>이식성</t>
    <phoneticPr fontId="1" type="noConversion"/>
  </si>
  <si>
    <t>기타</t>
    <phoneticPr fontId="1" type="noConversion"/>
  </si>
  <si>
    <t>회원가입</t>
  </si>
  <si>
    <t>회원 정보</t>
  </si>
  <si>
    <t>GitHub</t>
  </si>
  <si>
    <t>대시보드</t>
  </si>
  <si>
    <t>히스토리</t>
  </si>
  <si>
    <t>소스코드 분석</t>
  </si>
  <si>
    <t>개별 리포트</t>
  </si>
  <si>
    <t>알림</t>
  </si>
  <si>
    <t>테마</t>
  </si>
  <si>
    <t>회원 기능</t>
  </si>
  <si>
    <t>회원 기능</t>
    <phoneticPr fontId="1" type="noConversion"/>
  </si>
  <si>
    <t>이메일 중복 확인</t>
  </si>
  <si>
    <t>비밀번호 찾기</t>
  </si>
  <si>
    <t>비밀번호 변경</t>
  </si>
  <si>
    <t>회원정보 조회</t>
  </si>
  <si>
    <t>회원 탈퇴</t>
  </si>
  <si>
    <t>레포 연동</t>
  </si>
  <si>
    <t>레포 해제</t>
  </si>
  <si>
    <t>레포 조회</t>
  </si>
  <si>
    <t>자동 pull request</t>
  </si>
  <si>
    <t>깃허브 계정연동</t>
  </si>
  <si>
    <t>분석 통계 조회</t>
  </si>
  <si>
    <t>대시보드 영역별출력 1</t>
  </si>
  <si>
    <t>대시보드 영역별출력 2</t>
  </si>
  <si>
    <t>대시보드 영역별출력 3</t>
  </si>
  <si>
    <t>프로젝트 히스토리</t>
  </si>
  <si>
    <t>코드 비교</t>
  </si>
  <si>
    <t>히스토리 검색 기능</t>
  </si>
  <si>
    <t>기존/대체 코드 간 선택</t>
  </si>
  <si>
    <t>개별 리포트 1</t>
  </si>
  <si>
    <t>개별 리포트 2</t>
  </si>
  <si>
    <t>개별 리포트 3</t>
  </si>
  <si>
    <t>개별 리포트 검색기능</t>
  </si>
  <si>
    <t>분석 완료 알림 발송</t>
  </si>
  <si>
    <t>보안 취약점 감지 알림 발송</t>
  </si>
  <si>
    <t>알림 목록 조회</t>
  </si>
  <si>
    <t>라이트 / 다크모드</t>
  </si>
  <si>
    <t>뒤로가기 시 페이지 유지</t>
  </si>
  <si>
    <t>로고 클릭 시 메인페이지(대시보드) 진입</t>
  </si>
  <si>
    <t>회원 가입</t>
    <phoneticPr fontId="1" type="noConversion"/>
  </si>
  <si>
    <t>이메일 중복 확인</t>
    <phoneticPr fontId="1" type="noConversion"/>
  </si>
  <si>
    <t xml:space="preserve">비밀번호 찾기 </t>
    <phoneticPr fontId="1" type="noConversion"/>
  </si>
  <si>
    <t>비밀번호 변경</t>
    <phoneticPr fontId="1" type="noConversion"/>
  </si>
  <si>
    <t>회언정보 조회</t>
    <phoneticPr fontId="1" type="noConversion"/>
  </si>
  <si>
    <t>회원 탈퇴</t>
    <phoneticPr fontId="1" type="noConversion"/>
  </si>
  <si>
    <t>Git 레포지토리 연동</t>
    <phoneticPr fontId="1" type="noConversion"/>
  </si>
  <si>
    <t xml:space="preserve">Git 레포지토리 연동 해제 </t>
    <phoneticPr fontId="1" type="noConversion"/>
  </si>
  <si>
    <t>Git 레포지토리 연동 목록 조회</t>
    <phoneticPr fontId="1" type="noConversion"/>
  </si>
  <si>
    <t>자동 Pull Request</t>
    <phoneticPr fontId="1" type="noConversion"/>
  </si>
  <si>
    <t>Github 계정 연동</t>
    <phoneticPr fontId="1" type="noConversion"/>
  </si>
  <si>
    <t>분석 통계 조회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</si>
</sst>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 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\-* #,##0.00_-;_-* &quot;-&quot;??_-;_-@_-"/>
    <numFmt numFmtId="180" formatCode="&quot;₩&quot;&quot;₩&quot;&quot;₩&quot;\$#,##0.00_);&quot;₩&quot;&quot;₩&quot;\(&quot;₩&quot;&quot;₩&quot;&quot;₩&quot;\$#,##0.00&quot;₩&quot;&quot;₩&quot;&quot;₩&quot;\)"/>
    <numFmt numFmtId="181" formatCode="&quot;₩&quot;#,##0.00;[Red]&quot;₩&quot;&quot;₩&quot;&quot;₩&quot;&quot;₩&quot;&quot;₩&quot;&quot;₩&quot;&quot;₩&quot;&quot;₩&quot;&quot;₩&quot;&quot;₩&quot;&quot;₩&quot;\-&quot;₩&quot;#,##0.00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_-* #,##0.00_-;&quot;₩&quot;&quot;₩&quot;&quot;₩&quot;&quot;₩&quot;&quot;₩&quot;\-* #,##0.00_-;_-* &quot;-&quot;??_-;_-@_-"/>
  </numFmts>
  <fonts count="70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color indexed="81"/>
      <name val="굴림"/>
      <family val="3"/>
      <charset val="129"/>
    </font>
    <font>
      <sz val="11"/>
      <name val="돋움"/>
      <family val="3"/>
      <charset val="129"/>
    </font>
    <font>
      <sz val="9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63"/>
      <name val="宋体"/>
      <family val="3"/>
      <charset val="129"/>
    </font>
    <font>
      <sz val="11"/>
      <color indexed="9"/>
      <name val="宋体"/>
      <family val="3"/>
      <charset val="129"/>
    </font>
    <font>
      <sz val="11"/>
      <color indexed="10"/>
      <name val="宋体"/>
      <family val="3"/>
      <charset val="129"/>
    </font>
    <font>
      <sz val="11"/>
      <color indexed="60"/>
      <name val="宋体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11"/>
      <color indexed="36"/>
      <name val="宋体"/>
      <family val="3"/>
      <charset val="129"/>
    </font>
    <font>
      <sz val="12"/>
      <name val="바탕체"/>
      <family val="1"/>
      <charset val="129"/>
    </font>
    <font>
      <i/>
      <sz val="11"/>
      <color indexed="23"/>
      <name val="宋体"/>
      <family val="3"/>
      <charset val="129"/>
    </font>
    <font>
      <sz val="11"/>
      <color indexed="17"/>
      <name val="宋体"/>
      <family val="3"/>
      <charset val="129"/>
    </font>
    <font>
      <b/>
      <sz val="18"/>
      <color indexed="62"/>
      <name val="宋体"/>
      <family val="3"/>
      <charset val="129"/>
    </font>
    <font>
      <b/>
      <sz val="15"/>
      <color indexed="62"/>
      <name val="宋体"/>
      <family val="3"/>
      <charset val="129"/>
    </font>
    <font>
      <b/>
      <sz val="13"/>
      <color indexed="62"/>
      <name val="宋体"/>
      <family val="3"/>
      <charset val="129"/>
    </font>
    <font>
      <b/>
      <sz val="11"/>
      <color indexed="62"/>
      <name val="宋体"/>
      <family val="3"/>
      <charset val="129"/>
    </font>
    <font>
      <b/>
      <sz val="11"/>
      <color indexed="9"/>
      <name val="宋体"/>
      <family val="3"/>
      <charset val="129"/>
    </font>
    <font>
      <b/>
      <sz val="11"/>
      <color indexed="63"/>
      <name val="宋体"/>
      <family val="3"/>
      <charset val="129"/>
    </font>
    <font>
      <b/>
      <sz val="11"/>
      <color indexed="52"/>
      <name val="宋体"/>
      <family val="3"/>
      <charset val="129"/>
    </font>
    <font>
      <sz val="11"/>
      <color indexed="62"/>
      <name val="宋体"/>
      <family val="3"/>
      <charset val="129"/>
    </font>
    <font>
      <sz val="11"/>
      <color indexed="52"/>
      <name val="宋体"/>
      <family val="3"/>
      <charset val="129"/>
    </font>
    <font>
      <b/>
      <sz val="12"/>
      <name val="Arial"/>
      <family val="2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1"/>
      <name val="맑은 고딕"/>
      <family val="3"/>
      <charset val="129"/>
      <scheme val="minor"/>
    </font>
    <font>
      <b/>
      <sz val="10"/>
      <color indexed="81"/>
      <name val="맑은 고딕"/>
      <family val="3"/>
      <charset val="129"/>
      <scheme val="major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9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i/>
      <sz val="12"/>
      <color theme="0"/>
      <name val="맑은 고딕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trike/>
      <sz val="10"/>
      <color rgb="FF000000"/>
      <name val="맑은 고딕"/>
      <family val="3"/>
      <charset val="129"/>
    </font>
    <font>
      <sz val="10"/>
      <name val="돋움"/>
      <family val="3"/>
      <charset val="129"/>
    </font>
    <font>
      <b/>
      <sz val="20"/>
      <name val="맑은 고딕"/>
      <family val="3"/>
      <charset val="129"/>
    </font>
    <font>
      <sz val="10"/>
      <color theme="1" tint="0.499984740745262"/>
      <name val="맑은 고딕"/>
      <family val="2"/>
      <charset val="129"/>
    </font>
    <font>
      <sz val="10"/>
      <color theme="1" tint="0.499984740745262"/>
      <name val="맑은 고딕"/>
      <family val="3"/>
      <charset val="129"/>
    </font>
    <font>
      <sz val="9"/>
      <color theme="1" tint="0.499984740745262"/>
      <name val="맑은 고딕"/>
      <family val="3"/>
      <charset val="129"/>
      <scheme val="minor"/>
    </font>
    <font>
      <sz val="11"/>
      <color rgb="FF9C0006"/>
      <name val="돋움"/>
      <family val="3"/>
      <charset val="129"/>
    </font>
    <font>
      <b/>
      <sz val="16"/>
      <name val="맑은 고딕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0"/>
      </patternFill>
    </fill>
    <fill>
      <patternFill patternType="solid">
        <fgColor indexed="50"/>
      </patternFill>
    </fill>
    <fill>
      <patternFill patternType="solid">
        <fgColor indexed="23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0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" fillId="21" borderId="6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0" borderId="13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24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2" borderId="0" applyNumberFormat="0" applyBorder="0" applyAlignment="0" applyProtection="0"/>
    <xf numFmtId="0" fontId="22" fillId="24" borderId="0" applyNumberFormat="0" applyBorder="0" applyAlignment="0" applyProtection="0"/>
    <xf numFmtId="0" fontId="22" fillId="9" borderId="0" applyNumberFormat="0" applyBorder="0" applyAlignment="0" applyProtection="0"/>
    <xf numFmtId="0" fontId="22" fillId="25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7" borderId="0" applyNumberFormat="0" applyBorder="0" applyAlignment="0" applyProtection="0"/>
    <xf numFmtId="0" fontId="23" fillId="14" borderId="0" applyNumberFormat="0" applyBorder="0" applyAlignment="0" applyProtection="0"/>
    <xf numFmtId="0" fontId="23" fillId="9" borderId="0" applyNumberFormat="0" applyBorder="0" applyAlignment="0" applyProtection="0"/>
    <xf numFmtId="0" fontId="23" fillId="25" borderId="0" applyNumberFormat="0" applyBorder="0" applyAlignment="0" applyProtection="0"/>
    <xf numFmtId="0" fontId="23" fillId="23" borderId="0" applyNumberFormat="0" applyBorder="0" applyAlignment="0" applyProtection="0"/>
    <xf numFmtId="0" fontId="23" fillId="14" borderId="0" applyNumberFormat="0" applyBorder="0" applyAlignment="0" applyProtection="0"/>
    <xf numFmtId="0" fontId="23" fillId="7" borderId="0" applyNumberFormat="0" applyBorder="0" applyAlignment="0" applyProtection="0"/>
    <xf numFmtId="0" fontId="23" fillId="14" borderId="0" applyNumberFormat="0" applyBorder="0" applyAlignment="0" applyProtection="0"/>
    <xf numFmtId="0" fontId="23" fillId="17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7" borderId="0" applyNumberFormat="0" applyBorder="0" applyAlignment="0" applyProtection="0"/>
    <xf numFmtId="0" fontId="26" fillId="0" borderId="0"/>
    <xf numFmtId="0" fontId="27" fillId="21" borderId="14" applyNumberFormat="0" applyFont="0" applyAlignment="0" applyProtection="0"/>
    <xf numFmtId="0" fontId="28" fillId="3" borderId="0" applyNumberFormat="0" applyBorder="0" applyAlignment="0" applyProtection="0"/>
    <xf numFmtId="0" fontId="3" fillId="0" borderId="0">
      <alignment vertical="center"/>
    </xf>
    <xf numFmtId="0" fontId="3" fillId="0" borderId="0"/>
    <xf numFmtId="0" fontId="30" fillId="0" borderId="0" applyNumberFormat="0" applyFill="0" applyBorder="0" applyAlignment="0" applyProtection="0"/>
    <xf numFmtId="0" fontId="31" fillId="18" borderId="0" applyNumberFormat="0" applyBorder="0" applyAlignment="0" applyProtection="0"/>
    <xf numFmtId="0" fontId="32" fillId="0" borderId="0" applyNumberFormat="0" applyFill="0" applyBorder="0" applyAlignment="0" applyProtection="0"/>
    <xf numFmtId="0" fontId="33" fillId="0" borderId="15" applyNumberFormat="0" applyFill="0" applyAlignment="0" applyProtection="0"/>
    <xf numFmtId="0" fontId="34" fillId="0" borderId="16" applyNumberFormat="0" applyFill="0" applyAlignment="0" applyProtection="0"/>
    <xf numFmtId="0" fontId="35" fillId="0" borderId="17" applyNumberFormat="0" applyFill="0" applyAlignment="0" applyProtection="0"/>
    <xf numFmtId="0" fontId="35" fillId="0" borderId="0" applyNumberFormat="0" applyFill="0" applyBorder="0" applyAlignment="0" applyProtection="0"/>
    <xf numFmtId="0" fontId="36" fillId="23" borderId="7" applyNumberFormat="0" applyAlignment="0" applyProtection="0"/>
    <xf numFmtId="0" fontId="37" fillId="0" borderId="18" applyNumberFormat="0" applyFill="0" applyAlignment="0" applyProtection="0"/>
    <xf numFmtId="0" fontId="38" fillId="24" borderId="5" applyNumberFormat="0" applyAlignment="0" applyProtection="0"/>
    <xf numFmtId="0" fontId="39" fillId="7" borderId="5" applyNumberFormat="0" applyAlignment="0" applyProtection="0"/>
    <xf numFmtId="0" fontId="37" fillId="24" borderId="13" applyNumberFormat="0" applyAlignment="0" applyProtection="0"/>
    <xf numFmtId="0" fontId="40" fillId="0" borderId="8" applyNumberFormat="0" applyFill="0" applyAlignment="0" applyProtection="0"/>
    <xf numFmtId="0" fontId="41" fillId="0" borderId="19" applyNumberFormat="0" applyAlignment="0" applyProtection="0">
      <alignment horizontal="left" vertical="center"/>
    </xf>
    <xf numFmtId="0" fontId="41" fillId="0" borderId="4">
      <alignment horizontal="left" vertical="center"/>
    </xf>
    <xf numFmtId="0" fontId="3" fillId="0" borderId="0"/>
    <xf numFmtId="177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3" fillId="0" borderId="0"/>
    <xf numFmtId="17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46" fillId="0" borderId="0"/>
    <xf numFmtId="0" fontId="27" fillId="0" borderId="0"/>
    <xf numFmtId="0" fontId="47" fillId="0" borderId="0"/>
    <xf numFmtId="38" fontId="46" fillId="0" borderId="0" applyFont="0" applyFill="0" applyBorder="0" applyAlignment="0" applyProtection="0"/>
    <xf numFmtId="181" fontId="3" fillId="0" borderId="0"/>
    <xf numFmtId="182" fontId="3" fillId="0" borderId="0"/>
    <xf numFmtId="183" fontId="3" fillId="0" borderId="0"/>
    <xf numFmtId="38" fontId="48" fillId="27" borderId="0" applyNumberFormat="0" applyBorder="0" applyAlignment="0" applyProtection="0"/>
    <xf numFmtId="0" fontId="49" fillId="0" borderId="0">
      <alignment horizontal="left"/>
    </xf>
    <xf numFmtId="0" fontId="50" fillId="0" borderId="0" applyNumberFormat="0" applyFill="0" applyBorder="0" applyAlignment="0" applyProtection="0"/>
    <xf numFmtId="10" fontId="48" fillId="27" borderId="1" applyNumberFormat="0" applyBorder="0" applyAlignment="0" applyProtection="0"/>
    <xf numFmtId="0" fontId="51" fillId="0" borderId="20"/>
    <xf numFmtId="184" fontId="3" fillId="0" borderId="0"/>
    <xf numFmtId="10" fontId="27" fillId="0" borderId="0" applyFont="0" applyFill="0" applyBorder="0" applyAlignment="0" applyProtection="0"/>
    <xf numFmtId="0" fontId="51" fillId="0" borderId="0"/>
    <xf numFmtId="0" fontId="68" fillId="29" borderId="0" applyNumberFormat="0" applyBorder="0" applyAlignment="0" applyProtection="0"/>
  </cellStyleXfs>
  <cellXfs count="95">
    <xf numFmtId="0" fontId="0" fillId="0" borderId="0" xfId="0"/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43" fillId="0" borderId="1" xfId="0" applyFont="1" applyBorder="1" applyAlignment="1">
      <alignment vertical="center" wrapText="1"/>
    </xf>
    <xf numFmtId="0" fontId="43" fillId="0" borderId="1" xfId="0" applyFont="1" applyBorder="1" applyAlignment="1">
      <alignment vertical="center"/>
    </xf>
    <xf numFmtId="0" fontId="52" fillId="0" borderId="0" xfId="0" applyFont="1" applyAlignment="1">
      <alignment vertical="center"/>
    </xf>
    <xf numFmtId="0" fontId="53" fillId="0" borderId="0" xfId="0" applyFont="1"/>
    <xf numFmtId="0" fontId="54" fillId="0" borderId="1" xfId="0" applyFont="1" applyBorder="1" applyAlignment="1">
      <alignment horizontal="center" vertical="center" wrapText="1"/>
    </xf>
    <xf numFmtId="49" fontId="54" fillId="28" borderId="1" xfId="0" quotePrefix="1" applyNumberFormat="1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left" vertical="center"/>
    </xf>
    <xf numFmtId="0" fontId="54" fillId="0" borderId="1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49" fontId="43" fillId="0" borderId="2" xfId="0" quotePrefix="1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/>
    </xf>
    <xf numFmtId="0" fontId="43" fillId="0" borderId="2" xfId="0" applyFont="1" applyBorder="1" applyAlignment="1">
      <alignment vertical="center"/>
    </xf>
    <xf numFmtId="0" fontId="43" fillId="0" borderId="1" xfId="0" applyFont="1" applyBorder="1" applyAlignment="1">
      <alignment horizontal="center" vertical="center"/>
    </xf>
    <xf numFmtId="49" fontId="43" fillId="0" borderId="1" xfId="0" quotePrefix="1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left" vertical="center" wrapText="1"/>
    </xf>
    <xf numFmtId="0" fontId="61" fillId="0" borderId="0" xfId="0" applyFont="1"/>
    <xf numFmtId="0" fontId="61" fillId="0" borderId="2" xfId="0" applyFont="1" applyBorder="1" applyAlignment="1">
      <alignment horizontal="center" vertical="center"/>
    </xf>
    <xf numFmtId="0" fontId="61" fillId="0" borderId="23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61" fillId="0" borderId="0" xfId="0" applyFont="1" applyAlignment="1">
      <alignment vertical="center"/>
    </xf>
    <xf numFmtId="0" fontId="55" fillId="0" borderId="1" xfId="0" applyFont="1" applyBorder="1" applyAlignment="1">
      <alignment horizontal="center" vertical="center"/>
    </xf>
    <xf numFmtId="49" fontId="54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/>
    <xf numFmtId="0" fontId="54" fillId="0" borderId="1" xfId="0" quotePrefix="1" applyFont="1" applyBorder="1" applyAlignment="1">
      <alignment horizontal="center" vertical="center" wrapText="1"/>
    </xf>
    <xf numFmtId="0" fontId="54" fillId="0" borderId="1" xfId="0" quotePrefix="1" applyFont="1" applyBorder="1" applyAlignment="1">
      <alignment horizontal="left" vertical="center" wrapText="1"/>
    </xf>
    <xf numFmtId="0" fontId="53" fillId="0" borderId="0" xfId="0" applyFont="1" applyAlignment="1">
      <alignment horizontal="center"/>
    </xf>
    <xf numFmtId="0" fontId="62" fillId="0" borderId="1" xfId="0" applyFont="1" applyBorder="1" applyAlignment="1">
      <alignment horizontal="left" vertical="center" wrapText="1"/>
    </xf>
    <xf numFmtId="0" fontId="43" fillId="0" borderId="0" xfId="0" applyFont="1" applyAlignment="1">
      <alignment vertical="center"/>
    </xf>
    <xf numFmtId="0" fontId="63" fillId="0" borderId="1" xfId="0" applyFont="1" applyBorder="1"/>
    <xf numFmtId="0" fontId="63" fillId="0" borderId="0" xfId="0" applyFont="1"/>
    <xf numFmtId="0" fontId="64" fillId="0" borderId="0" xfId="0" applyFont="1"/>
    <xf numFmtId="0" fontId="54" fillId="0" borderId="3" xfId="0" applyFont="1" applyBorder="1" applyAlignment="1">
      <alignment horizontal="center" vertical="center" wrapText="1"/>
    </xf>
    <xf numFmtId="0" fontId="54" fillId="0" borderId="40" xfId="0" applyFont="1" applyBorder="1" applyAlignment="1">
      <alignment horizontal="center" vertical="center" wrapText="1"/>
    </xf>
    <xf numFmtId="0" fontId="65" fillId="0" borderId="3" xfId="0" applyFont="1" applyBorder="1" applyAlignment="1">
      <alignment horizontal="center" vertical="center" wrapText="1"/>
    </xf>
    <xf numFmtId="0" fontId="66" fillId="0" borderId="1" xfId="0" quotePrefix="1" applyFont="1" applyBorder="1" applyAlignment="1">
      <alignment horizontal="center" vertical="center" wrapText="1"/>
    </xf>
    <xf numFmtId="49" fontId="66" fillId="28" borderId="1" xfId="0" quotePrefix="1" applyNumberFormat="1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center" vertical="center" wrapText="1"/>
    </xf>
    <xf numFmtId="0" fontId="66" fillId="0" borderId="2" xfId="0" quotePrefix="1" applyFont="1" applyBorder="1" applyAlignment="1">
      <alignment horizontal="left" vertical="center" wrapText="1"/>
    </xf>
    <xf numFmtId="0" fontId="66" fillId="0" borderId="40" xfId="0" applyFont="1" applyBorder="1" applyAlignment="1">
      <alignment horizontal="center" vertical="center" wrapText="1"/>
    </xf>
    <xf numFmtId="0" fontId="67" fillId="0" borderId="0" xfId="0" applyFont="1" applyAlignment="1">
      <alignment vertical="center"/>
    </xf>
    <xf numFmtId="0" fontId="66" fillId="0" borderId="1" xfId="0" applyFont="1" applyBorder="1" applyAlignment="1">
      <alignment horizontal="left" vertical="center"/>
    </xf>
    <xf numFmtId="0" fontId="68" fillId="29" borderId="3" xfId="134" applyBorder="1" applyAlignment="1">
      <alignment horizontal="center" vertical="center" wrapText="1"/>
    </xf>
    <xf numFmtId="0" fontId="68" fillId="29" borderId="1" xfId="134" quotePrefix="1" applyBorder="1" applyAlignment="1">
      <alignment horizontal="center" vertical="center" wrapText="1"/>
    </xf>
    <xf numFmtId="49" fontId="68" fillId="29" borderId="1" xfId="134" quotePrefix="1" applyNumberFormat="1" applyBorder="1" applyAlignment="1">
      <alignment horizontal="center" vertical="center" wrapText="1"/>
    </xf>
    <xf numFmtId="0" fontId="68" fillId="29" borderId="1" xfId="134" applyBorder="1" applyAlignment="1">
      <alignment horizontal="center" vertical="center" wrapText="1"/>
    </xf>
    <xf numFmtId="0" fontId="68" fillId="29" borderId="1" xfId="134" applyBorder="1" applyAlignment="1">
      <alignment horizontal="center" vertical="center"/>
    </xf>
    <xf numFmtId="0" fontId="68" fillId="29" borderId="1" xfId="134" applyBorder="1" applyAlignment="1">
      <alignment horizontal="left" vertical="center"/>
    </xf>
    <xf numFmtId="0" fontId="68" fillId="29" borderId="1" xfId="134" applyBorder="1" applyAlignment="1">
      <alignment horizontal="left" vertical="center" wrapText="1"/>
    </xf>
    <xf numFmtId="0" fontId="68" fillId="29" borderId="2" xfId="134" applyBorder="1" applyAlignment="1">
      <alignment horizontal="center" vertical="center" wrapText="1"/>
    </xf>
    <xf numFmtId="0" fontId="68" fillId="29" borderId="40" xfId="134" applyBorder="1" applyAlignment="1">
      <alignment horizontal="center" vertical="center" wrapText="1"/>
    </xf>
    <xf numFmtId="0" fontId="68" fillId="29" borderId="0" xfId="134" applyAlignment="1">
      <alignment vertical="center"/>
    </xf>
    <xf numFmtId="0" fontId="56" fillId="0" borderId="1" xfId="0" quotePrefix="1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5" fillId="0" borderId="42" xfId="0" applyFont="1" applyBorder="1" applyAlignment="1">
      <alignment horizontal="left" vertical="center"/>
    </xf>
    <xf numFmtId="0" fontId="54" fillId="0" borderId="23" xfId="0" applyFont="1" applyBorder="1" applyAlignment="1">
      <alignment horizontal="center" vertical="center" wrapText="1"/>
    </xf>
    <xf numFmtId="0" fontId="54" fillId="0" borderId="0" xfId="0" applyFont="1" applyAlignment="1">
      <alignment wrapText="1"/>
    </xf>
    <xf numFmtId="0" fontId="54" fillId="30" borderId="41" xfId="0" applyFont="1" applyFill="1" applyBorder="1" applyAlignment="1">
      <alignment vertical="top" wrapText="1"/>
    </xf>
    <xf numFmtId="0" fontId="54" fillId="30" borderId="0" xfId="0" quotePrefix="1" applyFont="1" applyFill="1" applyAlignment="1">
      <alignment wrapText="1"/>
    </xf>
    <xf numFmtId="49" fontId="54" fillId="0" borderId="1" xfId="0" applyNumberFormat="1" applyFont="1" applyBorder="1" applyAlignment="1">
      <alignment horizontal="center" vertical="center" wrapText="1"/>
    </xf>
    <xf numFmtId="0" fontId="57" fillId="31" borderId="22" xfId="0" applyFont="1" applyFill="1" applyBorder="1" applyAlignment="1">
      <alignment horizontal="center" vertical="center" wrapText="1"/>
    </xf>
    <xf numFmtId="0" fontId="59" fillId="31" borderId="0" xfId="97" applyFont="1" applyFill="1" applyAlignment="1">
      <alignment horizontal="center" vertical="center"/>
    </xf>
    <xf numFmtId="0" fontId="59" fillId="31" borderId="24" xfId="0" applyFont="1" applyFill="1" applyBorder="1" applyAlignment="1">
      <alignment horizontal="center" vertical="center"/>
    </xf>
    <xf numFmtId="0" fontId="59" fillId="31" borderId="29" xfId="0" applyFont="1" applyFill="1" applyBorder="1" applyAlignment="1">
      <alignment horizontal="center" vertical="center"/>
    </xf>
    <xf numFmtId="0" fontId="59" fillId="31" borderId="25" xfId="0" applyFont="1" applyFill="1" applyBorder="1" applyAlignment="1">
      <alignment horizontal="center" vertical="center"/>
    </xf>
    <xf numFmtId="0" fontId="69" fillId="0" borderId="0" xfId="0" applyFont="1" applyAlignment="1">
      <alignment vertical="center"/>
    </xf>
    <xf numFmtId="176" fontId="43" fillId="0" borderId="4" xfId="97" applyNumberFormat="1" applyFont="1" applyBorder="1" applyAlignment="1">
      <alignment horizontal="center" vertical="center"/>
    </xf>
    <xf numFmtId="0" fontId="43" fillId="0" borderId="4" xfId="97" applyFont="1" applyBorder="1" applyAlignment="1">
      <alignment horizontal="center" vertical="center"/>
    </xf>
    <xf numFmtId="0" fontId="43" fillId="0" borderId="3" xfId="97" applyFont="1" applyBorder="1" applyAlignment="1">
      <alignment horizontal="center" vertical="center"/>
    </xf>
    <xf numFmtId="0" fontId="57" fillId="31" borderId="30" xfId="0" applyFont="1" applyFill="1" applyBorder="1" applyAlignment="1">
      <alignment horizontal="center" vertical="center" wrapText="1"/>
    </xf>
    <xf numFmtId="0" fontId="57" fillId="31" borderId="34" xfId="0" applyFont="1" applyFill="1" applyBorder="1" applyAlignment="1">
      <alignment horizontal="center" vertical="center" wrapText="1"/>
    </xf>
    <xf numFmtId="0" fontId="57" fillId="31" borderId="38" xfId="0" applyFont="1" applyFill="1" applyBorder="1" applyAlignment="1">
      <alignment horizontal="center" vertical="center" wrapText="1"/>
    </xf>
    <xf numFmtId="0" fontId="57" fillId="31" borderId="39" xfId="0" applyFont="1" applyFill="1" applyBorder="1" applyAlignment="1">
      <alignment horizontal="center" vertical="center" wrapText="1"/>
    </xf>
    <xf numFmtId="0" fontId="57" fillId="31" borderId="32" xfId="0" applyFont="1" applyFill="1" applyBorder="1" applyAlignment="1">
      <alignment horizontal="center" vertical="center" wrapText="1"/>
    </xf>
    <xf numFmtId="0" fontId="57" fillId="31" borderId="33" xfId="0" applyFont="1" applyFill="1" applyBorder="1" applyAlignment="1">
      <alignment horizontal="center" vertical="center" wrapText="1"/>
    </xf>
    <xf numFmtId="0" fontId="57" fillId="31" borderId="36" xfId="0" applyFont="1" applyFill="1" applyBorder="1" applyAlignment="1">
      <alignment horizontal="center" vertical="center" wrapText="1"/>
    </xf>
    <xf numFmtId="0" fontId="57" fillId="31" borderId="37" xfId="0" applyFont="1" applyFill="1" applyBorder="1" applyAlignment="1">
      <alignment horizontal="center" vertical="center" wrapText="1"/>
    </xf>
    <xf numFmtId="0" fontId="57" fillId="31" borderId="23" xfId="0" applyFont="1" applyFill="1" applyBorder="1" applyAlignment="1">
      <alignment horizontal="center" vertical="center" wrapText="1"/>
    </xf>
    <xf numFmtId="0" fontId="57" fillId="31" borderId="29" xfId="0" applyFont="1" applyFill="1" applyBorder="1" applyAlignment="1">
      <alignment horizontal="center" vertical="center" wrapText="1"/>
    </xf>
    <xf numFmtId="0" fontId="57" fillId="31" borderId="31" xfId="0" applyFont="1" applyFill="1" applyBorder="1" applyAlignment="1">
      <alignment horizontal="center" vertical="center" wrapText="1"/>
    </xf>
    <xf numFmtId="0" fontId="57" fillId="31" borderId="35" xfId="0" applyFont="1" applyFill="1" applyBorder="1" applyAlignment="1">
      <alignment horizontal="center" vertical="center" wrapText="1"/>
    </xf>
    <xf numFmtId="0" fontId="59" fillId="31" borderId="21" xfId="0" applyFont="1" applyFill="1" applyBorder="1" applyAlignment="1">
      <alignment horizontal="center" vertical="center"/>
    </xf>
    <xf numFmtId="0" fontId="59" fillId="31" borderId="2" xfId="0" applyFont="1" applyFill="1" applyBorder="1" applyAlignment="1">
      <alignment horizontal="center" vertical="center"/>
    </xf>
    <xf numFmtId="0" fontId="59" fillId="31" borderId="26" xfId="0" applyFont="1" applyFill="1" applyBorder="1" applyAlignment="1">
      <alignment horizontal="center" vertical="center"/>
    </xf>
    <xf numFmtId="0" fontId="59" fillId="31" borderId="27" xfId="0" applyFont="1" applyFill="1" applyBorder="1" applyAlignment="1">
      <alignment horizontal="center" vertical="center"/>
    </xf>
    <xf numFmtId="0" fontId="59" fillId="31" borderId="28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 readingOrder="1"/>
    </xf>
  </cellXfs>
  <cellStyles count="135">
    <cellStyle name="%" xfId="2" xr:uid="{00000000-0005-0000-0000-000000000000}"/>
    <cellStyle name="20% - 强调文字颜色 1" xfId="67" xr:uid="{00000000-0005-0000-0000-000001000000}"/>
    <cellStyle name="20% - 强调文字颜色 2" xfId="68" xr:uid="{00000000-0005-0000-0000-000002000000}"/>
    <cellStyle name="20% - 强调文字颜色 3" xfId="69" xr:uid="{00000000-0005-0000-0000-000003000000}"/>
    <cellStyle name="20% - 强调文字颜色 4" xfId="70" xr:uid="{00000000-0005-0000-0000-000004000000}"/>
    <cellStyle name="20% - 强调文字颜色 5" xfId="71" xr:uid="{00000000-0005-0000-0000-000005000000}"/>
    <cellStyle name="20% - 强调文字颜色 6" xfId="72" xr:uid="{00000000-0005-0000-0000-000006000000}"/>
    <cellStyle name="20% - 강조색1 2" xfId="3" xr:uid="{00000000-0005-0000-0000-000007000000}"/>
    <cellStyle name="20% - 강조색2 2" xfId="4" xr:uid="{00000000-0005-0000-0000-000008000000}"/>
    <cellStyle name="20% - 강조색3 2" xfId="5" xr:uid="{00000000-0005-0000-0000-000009000000}"/>
    <cellStyle name="20% - 강조색4 2" xfId="6" xr:uid="{00000000-0005-0000-0000-00000A000000}"/>
    <cellStyle name="20% - 강조색5 2" xfId="7" xr:uid="{00000000-0005-0000-0000-00000B000000}"/>
    <cellStyle name="20% - 강조색6 2" xfId="8" xr:uid="{00000000-0005-0000-0000-00000C000000}"/>
    <cellStyle name="40% - 强调文字颜色 1" xfId="73" xr:uid="{00000000-0005-0000-0000-00000D000000}"/>
    <cellStyle name="40% - 强调文字颜色 2" xfId="74" xr:uid="{00000000-0005-0000-0000-00000E000000}"/>
    <cellStyle name="40% - 强调文字颜色 3" xfId="75" xr:uid="{00000000-0005-0000-0000-00000F000000}"/>
    <cellStyle name="40% - 强调文字颜色 4" xfId="76" xr:uid="{00000000-0005-0000-0000-000010000000}"/>
    <cellStyle name="40% - 强调文字颜色 5" xfId="77" xr:uid="{00000000-0005-0000-0000-000011000000}"/>
    <cellStyle name="40% - 强调文字颜色 6" xfId="78" xr:uid="{00000000-0005-0000-0000-000012000000}"/>
    <cellStyle name="40% - 강조색1 2" xfId="9" xr:uid="{00000000-0005-0000-0000-000013000000}"/>
    <cellStyle name="40% - 강조색2 2" xfId="10" xr:uid="{00000000-0005-0000-0000-000014000000}"/>
    <cellStyle name="40% - 강조색3 2" xfId="11" xr:uid="{00000000-0005-0000-0000-000015000000}"/>
    <cellStyle name="40% - 강조색4 2" xfId="12" xr:uid="{00000000-0005-0000-0000-000016000000}"/>
    <cellStyle name="40% - 강조색5 2" xfId="13" xr:uid="{00000000-0005-0000-0000-000017000000}"/>
    <cellStyle name="40% - 강조색6 2" xfId="14" xr:uid="{00000000-0005-0000-0000-000018000000}"/>
    <cellStyle name="60% - 强调文字颜色 1" xfId="79" xr:uid="{00000000-0005-0000-0000-000019000000}"/>
    <cellStyle name="60% - 强调文字颜色 2" xfId="80" xr:uid="{00000000-0005-0000-0000-00001A000000}"/>
    <cellStyle name="60% - 强调文字颜色 3" xfId="81" xr:uid="{00000000-0005-0000-0000-00001B000000}"/>
    <cellStyle name="60% - 强调文字颜色 4" xfId="82" xr:uid="{00000000-0005-0000-0000-00001C000000}"/>
    <cellStyle name="60% - 强调文字颜色 5" xfId="83" xr:uid="{00000000-0005-0000-0000-00001D000000}"/>
    <cellStyle name="60% - 强调文字颜色 6" xfId="84" xr:uid="{00000000-0005-0000-0000-00001E000000}"/>
    <cellStyle name="60% - 강조색1 2" xfId="15" xr:uid="{00000000-0005-0000-0000-00001F000000}"/>
    <cellStyle name="60% - 강조색2 2" xfId="16" xr:uid="{00000000-0005-0000-0000-000020000000}"/>
    <cellStyle name="60% - 강조색3 2" xfId="17" xr:uid="{00000000-0005-0000-0000-000021000000}"/>
    <cellStyle name="60% - 강조색4 2" xfId="18" xr:uid="{00000000-0005-0000-0000-000022000000}"/>
    <cellStyle name="60% - 강조색5 2" xfId="19" xr:uid="{00000000-0005-0000-0000-000023000000}"/>
    <cellStyle name="60% - 강조색6 2" xfId="20" xr:uid="{00000000-0005-0000-0000-000024000000}"/>
    <cellStyle name="AeE­ [0]_PERSONAL" xfId="117" xr:uid="{00000000-0005-0000-0000-000025000000}"/>
    <cellStyle name="AeE­_PERSONAL" xfId="118" xr:uid="{00000000-0005-0000-0000-000026000000}"/>
    <cellStyle name="ALIGNMENT" xfId="119" xr:uid="{00000000-0005-0000-0000-000027000000}"/>
    <cellStyle name="C￥AØ_PERSONAL" xfId="120" xr:uid="{00000000-0005-0000-0000-000028000000}"/>
    <cellStyle name="category" xfId="121" xr:uid="{00000000-0005-0000-0000-000029000000}"/>
    <cellStyle name="Comma [0]_MACRO1.XLM" xfId="122" xr:uid="{00000000-0005-0000-0000-00002A000000}"/>
    <cellStyle name="comma zerodec" xfId="123" xr:uid="{00000000-0005-0000-0000-00002B000000}"/>
    <cellStyle name="Currency1" xfId="124" xr:uid="{00000000-0005-0000-0000-00002C000000}"/>
    <cellStyle name="Dollar (zero dec)" xfId="125" xr:uid="{00000000-0005-0000-0000-00002D000000}"/>
    <cellStyle name="Grey" xfId="126" xr:uid="{00000000-0005-0000-0000-00002E000000}"/>
    <cellStyle name="HEADER" xfId="127" xr:uid="{00000000-0005-0000-0000-00002F000000}"/>
    <cellStyle name="Header1" xfId="111" xr:uid="{00000000-0005-0000-0000-000030000000}"/>
    <cellStyle name="Header2" xfId="112" xr:uid="{00000000-0005-0000-0000-000031000000}"/>
    <cellStyle name="Hyperlink_NEGS" xfId="128" xr:uid="{00000000-0005-0000-0000-000032000000}"/>
    <cellStyle name="Input [yellow]" xfId="129" xr:uid="{00000000-0005-0000-0000-000033000000}"/>
    <cellStyle name="Model" xfId="130" xr:uid="{00000000-0005-0000-0000-000034000000}"/>
    <cellStyle name="Normal - Style1" xfId="131" xr:uid="{00000000-0005-0000-0000-000035000000}"/>
    <cellStyle name="Normal_Sheet1" xfId="113" xr:uid="{00000000-0005-0000-0000-000036000000}"/>
    <cellStyle name="Percent [2]" xfId="132" xr:uid="{00000000-0005-0000-0000-000037000000}"/>
    <cellStyle name="subhead" xfId="133" xr:uid="{00000000-0005-0000-0000-000038000000}"/>
    <cellStyle name="强调文字颜色 1" xfId="85" xr:uid="{00000000-0005-0000-0000-000039000000}"/>
    <cellStyle name="强调文字颜色 2" xfId="86" xr:uid="{00000000-0005-0000-0000-00003A000000}"/>
    <cellStyle name="强调文字颜色 3" xfId="87" xr:uid="{00000000-0005-0000-0000-00003B000000}"/>
    <cellStyle name="强调文字颜色 4" xfId="88" xr:uid="{00000000-0005-0000-0000-00003C000000}"/>
    <cellStyle name="强调文字颜色 5" xfId="89" xr:uid="{00000000-0005-0000-0000-00003D000000}"/>
    <cellStyle name="强调文字颜色 6" xfId="90" xr:uid="{00000000-0005-0000-0000-00003E000000}"/>
    <cellStyle name="강조색1 2" xfId="21" xr:uid="{00000000-0005-0000-0000-00003F000000}"/>
    <cellStyle name="강조색2 2" xfId="22" xr:uid="{00000000-0005-0000-0000-000040000000}"/>
    <cellStyle name="강조색3 2" xfId="23" xr:uid="{00000000-0005-0000-0000-000041000000}"/>
    <cellStyle name="강조색4 2" xfId="24" xr:uid="{00000000-0005-0000-0000-000042000000}"/>
    <cellStyle name="강조색5 2" xfId="25" xr:uid="{00000000-0005-0000-0000-000043000000}"/>
    <cellStyle name="강조색6 2" xfId="26" xr:uid="{00000000-0005-0000-0000-000044000000}"/>
    <cellStyle name="检查单元格" xfId="105" xr:uid="{00000000-0005-0000-0000-000045000000}"/>
    <cellStyle name="경고문 2" xfId="27" xr:uid="{00000000-0005-0000-0000-000046000000}"/>
    <cellStyle name="警告文本" xfId="91" xr:uid="{00000000-0005-0000-0000-000047000000}"/>
    <cellStyle name="计算" xfId="107" xr:uid="{00000000-0005-0000-0000-000048000000}"/>
    <cellStyle name="계산 2" xfId="28" xr:uid="{00000000-0005-0000-0000-000049000000}"/>
    <cellStyle name="适中" xfId="92" xr:uid="{00000000-0005-0000-0000-00004A000000}"/>
    <cellStyle name="나쁨" xfId="134" builtinId="27"/>
    <cellStyle name="나쁨 2" xfId="29" xr:uid="{00000000-0005-0000-0000-00004C000000}"/>
    <cellStyle name="链接单元格" xfId="110" xr:uid="{00000000-0005-0000-0000-00004D000000}"/>
    <cellStyle name="메모 2" xfId="30" xr:uid="{00000000-0005-0000-0000-00004E000000}"/>
    <cellStyle name="보통 2" xfId="31" xr:uid="{00000000-0005-0000-0000-00004F000000}"/>
    <cellStyle name="설명 텍스트 2" xfId="32" xr:uid="{00000000-0005-0000-0000-000050000000}"/>
    <cellStyle name="셀 확인 2" xfId="33" xr:uid="{00000000-0005-0000-0000-000051000000}"/>
    <cellStyle name="输入" xfId="108" xr:uid="{00000000-0005-0000-0000-000052000000}"/>
    <cellStyle name="输出" xfId="109" xr:uid="{00000000-0005-0000-0000-000053000000}"/>
    <cellStyle name="스타일 1" xfId="93" xr:uid="{00000000-0005-0000-0000-000054000000}"/>
    <cellStyle name="연결된 셀 2" xfId="34" xr:uid="{00000000-0005-0000-0000-000055000000}"/>
    <cellStyle name="요약 2" xfId="35" xr:uid="{00000000-0005-0000-0000-000056000000}"/>
    <cellStyle name="입력 2" xfId="36" xr:uid="{00000000-0005-0000-0000-000057000000}"/>
    <cellStyle name="제목 1 2" xfId="38" xr:uid="{00000000-0005-0000-0000-000058000000}"/>
    <cellStyle name="제목 2 2" xfId="39" xr:uid="{00000000-0005-0000-0000-000059000000}"/>
    <cellStyle name="제목 3 2" xfId="40" xr:uid="{00000000-0005-0000-0000-00005A000000}"/>
    <cellStyle name="제목 4 2" xfId="41" xr:uid="{00000000-0005-0000-0000-00005B000000}"/>
    <cellStyle name="제목 5" xfId="37" xr:uid="{00000000-0005-0000-0000-00005C000000}"/>
    <cellStyle name="좋음 2" xfId="42" xr:uid="{00000000-0005-0000-0000-00005D000000}"/>
    <cellStyle name="注释" xfId="94" xr:uid="{00000000-0005-0000-0000-00005E000000}"/>
    <cellStyle name="差" xfId="95" xr:uid="{00000000-0005-0000-0000-00005F000000}"/>
    <cellStyle name="출력 2" xfId="43" xr:uid="{00000000-0005-0000-0000-000060000000}"/>
    <cellStyle name="콤마 [0]_95" xfId="114" xr:uid="{00000000-0005-0000-0000-000061000000}"/>
    <cellStyle name="콤마_95" xfId="115" xr:uid="{00000000-0005-0000-0000-000062000000}"/>
    <cellStyle name="标题" xfId="100" xr:uid="{00000000-0005-0000-0000-000063000000}"/>
    <cellStyle name="标题 1" xfId="101" xr:uid="{00000000-0005-0000-0000-000064000000}"/>
    <cellStyle name="标题 2" xfId="102" xr:uid="{00000000-0005-0000-0000-000065000000}"/>
    <cellStyle name="标题 3" xfId="103" xr:uid="{00000000-0005-0000-0000-000066000000}"/>
    <cellStyle name="标题 4" xfId="104" xr:uid="{00000000-0005-0000-0000-000067000000}"/>
    <cellStyle name="표준" xfId="0" builtinId="0"/>
    <cellStyle name="표준 2" xfId="96" xr:uid="{00000000-0005-0000-0000-000069000000}"/>
    <cellStyle name="표준 2 10" xfId="51" xr:uid="{00000000-0005-0000-0000-00006A000000}"/>
    <cellStyle name="표준 2 11" xfId="52" xr:uid="{00000000-0005-0000-0000-00006B000000}"/>
    <cellStyle name="표준 2 12" xfId="53" xr:uid="{00000000-0005-0000-0000-00006C000000}"/>
    <cellStyle name="표준 2 13" xfId="54" xr:uid="{00000000-0005-0000-0000-00006D000000}"/>
    <cellStyle name="표준 2 14" xfId="55" xr:uid="{00000000-0005-0000-0000-00006E000000}"/>
    <cellStyle name="표준 2 15" xfId="56" xr:uid="{00000000-0005-0000-0000-00006F000000}"/>
    <cellStyle name="표준 2 16" xfId="57" xr:uid="{00000000-0005-0000-0000-000070000000}"/>
    <cellStyle name="표준 2 17" xfId="58" xr:uid="{00000000-0005-0000-0000-000071000000}"/>
    <cellStyle name="표준 2 18" xfId="59" xr:uid="{00000000-0005-0000-0000-000072000000}"/>
    <cellStyle name="표준 2 19" xfId="60" xr:uid="{00000000-0005-0000-0000-000073000000}"/>
    <cellStyle name="표준 2 2" xfId="1" xr:uid="{00000000-0005-0000-0000-000074000000}"/>
    <cellStyle name="표준 2 20" xfId="61" xr:uid="{00000000-0005-0000-0000-000075000000}"/>
    <cellStyle name="표준 2 21" xfId="62" xr:uid="{00000000-0005-0000-0000-000076000000}"/>
    <cellStyle name="표준 2 22" xfId="63" xr:uid="{00000000-0005-0000-0000-000077000000}"/>
    <cellStyle name="표준 2 23" xfId="64" xr:uid="{00000000-0005-0000-0000-000078000000}"/>
    <cellStyle name="표준 2 24" xfId="65" xr:uid="{00000000-0005-0000-0000-000079000000}"/>
    <cellStyle name="표준 2 25" xfId="66" xr:uid="{00000000-0005-0000-0000-00007A000000}"/>
    <cellStyle name="표준 2 3" xfId="44" xr:uid="{00000000-0005-0000-0000-00007B000000}"/>
    <cellStyle name="표준 2 4" xfId="45" xr:uid="{00000000-0005-0000-0000-00007C000000}"/>
    <cellStyle name="표준 2 5" xfId="46" xr:uid="{00000000-0005-0000-0000-00007D000000}"/>
    <cellStyle name="표준 2 6" xfId="47" xr:uid="{00000000-0005-0000-0000-00007E000000}"/>
    <cellStyle name="표준 2 7" xfId="48" xr:uid="{00000000-0005-0000-0000-00007F000000}"/>
    <cellStyle name="표준 2 8" xfId="49" xr:uid="{00000000-0005-0000-0000-000080000000}"/>
    <cellStyle name="표준 2 9" xfId="50" xr:uid="{00000000-0005-0000-0000-000081000000}"/>
    <cellStyle name="표준 5" xfId="116" xr:uid="{00000000-0005-0000-0000-000082000000}"/>
    <cellStyle name="표준_R03_프로세스감사평가기준_V2.1" xfId="97" xr:uid="{00000000-0005-0000-0000-000083000000}"/>
    <cellStyle name="解释性文本" xfId="98" xr:uid="{00000000-0005-0000-0000-000084000000}"/>
    <cellStyle name="好" xfId="99" xr:uid="{00000000-0005-0000-0000-000085000000}"/>
    <cellStyle name="汇总" xfId="106" xr:uid="{00000000-0005-0000-0000-000086000000}"/>
  </cellStyles>
  <dxfs count="0"/>
  <tableStyles count="0" defaultTableStyle="TableStyleMedium9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50.&#44060;&#48156;&#49328;&#52636;&#47932;\00.&#44060;&#48156;&#49328;&#52636;&#47932;%20&#53596;&#54540;&#47551;\30.&#49444;&#44228;&#45800;&#44228;\30.&#52265;&#49688;\WiBro-BIL-A-201(V1.0-&#50836;&#44396;&#49324;&#54637;&#51221;&#51032;&#49436;-Mediation)_200505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금부문"/>
      <sheetName val="작성방법"/>
      <sheetName val="Sheet3"/>
      <sheetName val="요구사항"/>
      <sheetName val="요구사항구현률"/>
      <sheetName val="요구사항유형분류"/>
      <sheetName val="과업범위 ID 정의"/>
      <sheetName val="정렬"/>
      <sheetName val=" ID 정의 샘플"/>
      <sheetName val="요구사항  유형 ID 정의 샘플"/>
      <sheetName val="과업범위  ID 정의 샘플"/>
      <sheetName val="코드"/>
      <sheetName val="결함유형 및 결함상태 참조"/>
      <sheetName val="과업범위_ID_정의"/>
      <sheetName val="_ID_정의_샘플"/>
      <sheetName val="요구사항__유형_ID_정의_샘플"/>
      <sheetName val="과업범위__ID_정의_샘플"/>
      <sheetName val="Sheet1"/>
      <sheetName val="기타"/>
      <sheetName val="데이타유효목록"/>
      <sheetName val="작성가이드"/>
      <sheetName val="Valueset"/>
      <sheetName val="과업범위_ID_정의2"/>
      <sheetName val="_ID_정의_샘플2"/>
      <sheetName val="요구사항__유형_ID_정의_샘플2"/>
      <sheetName val="과업범위__ID_정의_샘플2"/>
      <sheetName val="결함유형_및_결함상태_참조2"/>
      <sheetName val="결함유형_및_결함상태_참조"/>
      <sheetName val="과업범위_ID_정의1"/>
      <sheetName val="_ID_정의_샘플1"/>
      <sheetName val="요구사항__유형_ID_정의_샘플1"/>
      <sheetName val="과업범위__ID_정의_샘플1"/>
      <sheetName val="결함유형_및_결함상태_참조1"/>
      <sheetName val="과업범위_ID_정의3"/>
      <sheetName val="_ID_정의_샘플3"/>
      <sheetName val="요구사항__유형_ID_정의_샘플3"/>
      <sheetName val="과업범위__ID_정의_샘플3"/>
      <sheetName val="결함유형_및_결함상태_참조3"/>
      <sheetName val="과업범위_ID_정의4"/>
      <sheetName val="_ID_정의_샘플4"/>
      <sheetName val="요구사항__유형_ID_정의_샘플4"/>
      <sheetName val="과업범위__ID_정의_샘플4"/>
      <sheetName val="결함유형_및_결함상태_참조4"/>
      <sheetName val="과업범위_ID_정의5"/>
      <sheetName val="_ID_정의_샘플5"/>
      <sheetName val="요구사항__유형_ID_정의_샘플5"/>
      <sheetName val="과업범위__ID_정의_샘플5"/>
      <sheetName val="결함유형_및_결함상태_참조5"/>
      <sheetName val="과업범위_ID_정의6"/>
      <sheetName val="_ID_정의_샘플6"/>
      <sheetName val="요구사항__유형_ID_정의_샘플6"/>
      <sheetName val="과업범위__ID_정의_샘플6"/>
      <sheetName val="결함유형_및_결함상태_참조6"/>
      <sheetName val="과업범위_ID_정의7"/>
      <sheetName val="_ID_정의_샘플7"/>
      <sheetName val="요구사항__유형_ID_정의_샘플7"/>
      <sheetName val="과업범위__ID_정의_샘플7"/>
      <sheetName val="결함유형_및_결함상태_참조7"/>
      <sheetName val="과업범위_ID_정의8"/>
      <sheetName val="_ID_정의_샘플8"/>
      <sheetName val="요구사항__유형_ID_정의_샘플8"/>
      <sheetName val="과업범위__ID_정의_샘플8"/>
      <sheetName val="결함유형_및_결함상태_참조8"/>
      <sheetName val="과업범위_ID_정의9"/>
      <sheetName val="_ID_정의_샘플9"/>
      <sheetName val="요구사항__유형_ID_정의_샘플9"/>
      <sheetName val="과업범위__ID_정의_샘플9"/>
      <sheetName val="결함유형_및_결함상태_참조9"/>
      <sheetName val="과업범위_ID_정의10"/>
      <sheetName val="_ID_정의_샘플10"/>
      <sheetName val="요구사항__유형_ID_정의_샘플10"/>
      <sheetName val="과업범위__ID_정의_샘플10"/>
      <sheetName val="결함유형_및_결함상태_참조10"/>
      <sheetName val="Code구분"/>
      <sheetName val="과업범위 ID 정의 (2)"/>
      <sheetName val="과업범위 ID_New"/>
      <sheetName val="과업범위 ID 정의_ol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pageSetUpPr fitToPage="1"/>
  </sheetPr>
  <dimension ref="B1:O65"/>
  <sheetViews>
    <sheetView showGridLines="0" tabSelected="1" zoomScale="70" zoomScaleNormal="70" workbookViewId="0">
      <pane ySplit="5" topLeftCell="A9" activePane="bottomLeft" state="frozen"/>
      <selection pane="bottomLeft" activeCell="H30" sqref="H30"/>
    </sheetView>
  </sheetViews>
  <sheetFormatPr defaultRowHeight="17"/>
  <cols>
    <col min="1" max="1" width="1.6640625" customWidth="1"/>
    <col min="2" max="2" width="12.75" style="6" customWidth="1"/>
    <col min="3" max="3" width="21" style="6" customWidth="1"/>
    <col min="4" max="6" width="12.75" style="6" customWidth="1"/>
    <col min="7" max="7" width="36" style="6" customWidth="1"/>
    <col min="8" max="8" width="23.58203125" style="6" bestFit="1" customWidth="1"/>
    <col min="9" max="9" width="62.08203125" style="6" customWidth="1"/>
    <col min="10" max="10" width="11.6640625" style="31" customWidth="1"/>
    <col min="11" max="11" width="10.75" style="31" customWidth="1"/>
    <col min="12" max="12" width="8.75" style="6" customWidth="1"/>
    <col min="13" max="13" width="9.4140625" style="6" customWidth="1"/>
    <col min="14" max="14" width="13" style="6" customWidth="1"/>
    <col min="15" max="15" width="9.25" style="6" customWidth="1"/>
  </cols>
  <sheetData>
    <row r="1" spans="2:15" ht="30">
      <c r="B1" s="73" t="s">
        <v>0</v>
      </c>
      <c r="C1" s="36"/>
      <c r="D1" s="36"/>
      <c r="E1" s="36"/>
      <c r="F1" s="36"/>
      <c r="G1" s="36"/>
      <c r="H1" s="36"/>
    </row>
    <row r="2" spans="2:15" ht="17.5">
      <c r="B2" s="69" t="s">
        <v>1</v>
      </c>
      <c r="C2" s="74"/>
      <c r="D2" s="69" t="s">
        <v>2</v>
      </c>
      <c r="E2" s="75"/>
      <c r="F2" s="69" t="s">
        <v>3</v>
      </c>
      <c r="G2" s="76"/>
      <c r="H2" s="31"/>
    </row>
    <row r="4" spans="2:15" s="5" customFormat="1" ht="25.5" customHeight="1">
      <c r="B4" s="84" t="s">
        <v>4</v>
      </c>
      <c r="C4" s="77" t="s">
        <v>5</v>
      </c>
      <c r="D4" s="77" t="s">
        <v>6</v>
      </c>
      <c r="E4" s="86" t="s">
        <v>7</v>
      </c>
      <c r="F4" s="86"/>
      <c r="G4" s="86"/>
      <c r="H4" s="77" t="s">
        <v>8</v>
      </c>
      <c r="I4" s="87" t="s">
        <v>9</v>
      </c>
      <c r="J4" s="81" t="s">
        <v>10</v>
      </c>
      <c r="K4" s="82"/>
      <c r="L4" s="77" t="s">
        <v>11</v>
      </c>
      <c r="M4" s="77" t="s">
        <v>12</v>
      </c>
      <c r="N4" s="77" t="s">
        <v>13</v>
      </c>
      <c r="O4" s="79" t="s">
        <v>14</v>
      </c>
    </row>
    <row r="5" spans="2:15" s="5" customFormat="1" ht="25.5" customHeight="1">
      <c r="B5" s="85"/>
      <c r="C5" s="78"/>
      <c r="D5" s="78"/>
      <c r="E5" s="68" t="s">
        <v>15</v>
      </c>
      <c r="F5" s="68" t="s">
        <v>16</v>
      </c>
      <c r="G5" s="68" t="s">
        <v>17</v>
      </c>
      <c r="H5" s="78"/>
      <c r="I5" s="88"/>
      <c r="J5" s="68" t="s">
        <v>18</v>
      </c>
      <c r="K5" s="68" t="s">
        <v>19</v>
      </c>
      <c r="L5" s="83"/>
      <c r="M5" s="78"/>
      <c r="N5" s="78"/>
      <c r="O5" s="80"/>
    </row>
    <row r="6" spans="2:15" s="48" customFormat="1" ht="37.5" customHeight="1">
      <c r="B6" s="39" t="s">
        <v>20</v>
      </c>
      <c r="C6" s="40" t="str">
        <f>VLOOKUP(E6,'(참고) 과업범위 ID 정의'!$B$3:$C$39,2,FALSE)&amp; "-"&amp;VLOOKUP(F6,'(참고) 과업범위 ID 정의'!$D$3:$E$39,2,FALSE)&amp; "-"&amp;VLOOKUP(G6,'(참고) 과업범위 ID 정의'!$F$3:$G$39,2,FALSE)&amp;TEXT(B6,"000")</f>
        <v>SRV-12-07(예시)</v>
      </c>
      <c r="D6" s="41" t="s">
        <v>21</v>
      </c>
      <c r="E6" s="42" t="s">
        <v>22</v>
      </c>
      <c r="F6" s="42" t="s">
        <v>22</v>
      </c>
      <c r="G6" s="43" t="s">
        <v>23</v>
      </c>
      <c r="H6" s="44" t="s">
        <v>24</v>
      </c>
      <c r="I6" s="44" t="s">
        <v>25</v>
      </c>
      <c r="J6" s="45" t="s">
        <v>26</v>
      </c>
      <c r="K6" s="45" t="s">
        <v>27</v>
      </c>
      <c r="L6" s="45" t="s">
        <v>28</v>
      </c>
      <c r="M6" s="43" t="s">
        <v>29</v>
      </c>
      <c r="N6" s="46" t="s">
        <v>30</v>
      </c>
      <c r="O6" s="47" t="s">
        <v>21</v>
      </c>
    </row>
    <row r="7" spans="2:15" s="48" customFormat="1" ht="12.75" customHeight="1">
      <c r="B7" s="39" t="s">
        <v>20</v>
      </c>
      <c r="C7" s="40" t="e">
        <f>VLOOKUP(E7,'(참고) 과업범위 ID 정의'!$B$3:$C$39,2,FALSE)&amp; "-"&amp;VLOOKUP(F7,'(참고) 과업범위 ID 정의'!$D$3:$E$39,2,FALSE)&amp; "-"&amp;VLOOKUP(G7,'(참고) 과업범위 ID 정의'!$F$3:$G$39,2,FALSE)&amp;TEXT(B7,"000")</f>
        <v>#N/A</v>
      </c>
      <c r="D7" s="41" t="s">
        <v>31</v>
      </c>
      <c r="E7" s="42" t="s">
        <v>32</v>
      </c>
      <c r="F7" s="42" t="s">
        <v>33</v>
      </c>
      <c r="G7" s="43" t="s">
        <v>34</v>
      </c>
      <c r="H7" s="44" t="s">
        <v>35</v>
      </c>
      <c r="I7" s="44" t="s">
        <v>36</v>
      </c>
      <c r="J7" s="45" t="s">
        <v>37</v>
      </c>
      <c r="K7" s="45" t="s">
        <v>38</v>
      </c>
      <c r="L7" s="45" t="s">
        <v>28</v>
      </c>
      <c r="M7" s="43" t="s">
        <v>29</v>
      </c>
      <c r="N7" s="43"/>
      <c r="O7" s="47" t="s">
        <v>21</v>
      </c>
    </row>
    <row r="8" spans="2:15" s="48" customFormat="1" ht="16">
      <c r="B8" s="39" t="s">
        <v>20</v>
      </c>
      <c r="C8" s="40" t="e">
        <f>VLOOKUP(E8,'(참고) 과업범위 ID 정의'!$B$3:$C$39,2,FALSE)&amp; "-"&amp;VLOOKUP(F8,'(참고) 과업범위 ID 정의'!$D$3:$E$39,2,FALSE)&amp; "-"&amp;VLOOKUP(G8,'(참고) 과업범위 ID 정의'!$F$3:$G$39,2,FALSE)&amp;TEXT(B8,"000")</f>
        <v>#N/A</v>
      </c>
      <c r="D8" s="41" t="s">
        <v>31</v>
      </c>
      <c r="E8" s="42" t="s">
        <v>32</v>
      </c>
      <c r="F8" s="42" t="s">
        <v>39</v>
      </c>
      <c r="G8" s="43" t="s">
        <v>39</v>
      </c>
      <c r="H8" s="44" t="s">
        <v>40</v>
      </c>
      <c r="I8" s="44" t="s">
        <v>41</v>
      </c>
      <c r="J8" s="45" t="s">
        <v>37</v>
      </c>
      <c r="K8" s="45" t="s">
        <v>38</v>
      </c>
      <c r="L8" s="45" t="s">
        <v>28</v>
      </c>
      <c r="M8" s="43" t="s">
        <v>29</v>
      </c>
      <c r="N8" s="43"/>
      <c r="O8" s="47" t="s">
        <v>21</v>
      </c>
    </row>
    <row r="9" spans="2:15" s="48" customFormat="1" ht="67.5" customHeight="1">
      <c r="B9" s="39" t="s">
        <v>20</v>
      </c>
      <c r="C9" s="40" t="str">
        <f>VLOOKUP(E9,'(참고) 과업범위 ID 정의'!$B$3:$C$39,2,FALSE)&amp; "-"&amp;VLOOKUP(F9,'(참고) 과업범위 ID 정의'!$D$3:$E$39,2,FALSE)&amp; "-"&amp;VLOOKUP(G9,'(참고) 과업범위 ID 정의'!$F$3:$G$39,2,FALSE)&amp;TEXT(B9,"000")</f>
        <v>USR-01-01(예시)</v>
      </c>
      <c r="D9" s="41" t="s">
        <v>31</v>
      </c>
      <c r="E9" s="42" t="s">
        <v>42</v>
      </c>
      <c r="F9" s="42" t="s">
        <v>43</v>
      </c>
      <c r="G9" s="43" t="s">
        <v>43</v>
      </c>
      <c r="H9" s="44" t="s">
        <v>44</v>
      </c>
      <c r="I9" s="44" t="s">
        <v>45</v>
      </c>
      <c r="J9" s="45" t="s">
        <v>26</v>
      </c>
      <c r="K9" s="45" t="s">
        <v>46</v>
      </c>
      <c r="L9" s="45" t="s">
        <v>28</v>
      </c>
      <c r="M9" s="43" t="s">
        <v>29</v>
      </c>
      <c r="N9" s="43"/>
      <c r="O9" s="47" t="s">
        <v>21</v>
      </c>
    </row>
    <row r="10" spans="2:15" s="48" customFormat="1" ht="65.25" customHeight="1">
      <c r="B10" s="39" t="s">
        <v>20</v>
      </c>
      <c r="C10" s="40" t="str">
        <f>VLOOKUP(E10,'(참고) 과업범위 ID 정의'!$B$3:$C$39,2,FALSE)&amp; "-"&amp;VLOOKUP(F10,'(참고) 과업범위 ID 정의'!$D$3:$E$39,2,FALSE)&amp; "-"&amp;VLOOKUP(G10,'(참고) 과업범위 ID 정의'!$F$3:$G$39,2,FALSE)&amp;TEXT(B10,"000")</f>
        <v>USR-01-10(예시)</v>
      </c>
      <c r="D10" s="41" t="s">
        <v>31</v>
      </c>
      <c r="E10" s="42" t="s">
        <v>42</v>
      </c>
      <c r="F10" s="42" t="s">
        <v>47</v>
      </c>
      <c r="G10" s="43" t="s">
        <v>48</v>
      </c>
      <c r="H10" s="44" t="s">
        <v>49</v>
      </c>
      <c r="I10" s="44" t="s">
        <v>50</v>
      </c>
      <c r="J10" s="45" t="s">
        <v>26</v>
      </c>
      <c r="K10" s="45" t="s">
        <v>51</v>
      </c>
      <c r="L10" s="45" t="s">
        <v>52</v>
      </c>
      <c r="M10" s="43" t="s">
        <v>29</v>
      </c>
      <c r="N10" s="43"/>
      <c r="O10" s="47" t="s">
        <v>21</v>
      </c>
    </row>
    <row r="11" spans="2:15" s="48" customFormat="1" ht="53.25" customHeight="1">
      <c r="B11" s="39" t="s">
        <v>20</v>
      </c>
      <c r="C11" s="40" t="str">
        <f>VLOOKUP(E11,'(참고) 과업범위 ID 정의'!$B$3:$C$39,2,FALSE)&amp; "-"&amp;VLOOKUP(F11,'(참고) 과업범위 ID 정의'!$D$3:$E$39,2,FALSE)&amp; "-"&amp;VLOOKUP(G11,'(참고) 과업범위 ID 정의'!$F$3:$G$39,2,FALSE)&amp;TEXT(B11,"000")</f>
        <v>USR-02-02(예시)</v>
      </c>
      <c r="D11" s="41" t="s">
        <v>31</v>
      </c>
      <c r="E11" s="42" t="s">
        <v>42</v>
      </c>
      <c r="F11" s="42" t="s">
        <v>53</v>
      </c>
      <c r="G11" s="43" t="s">
        <v>53</v>
      </c>
      <c r="H11" s="49" t="s">
        <v>54</v>
      </c>
      <c r="I11" s="44" t="s">
        <v>55</v>
      </c>
      <c r="J11" s="45" t="s">
        <v>26</v>
      </c>
      <c r="K11" s="45" t="s">
        <v>46</v>
      </c>
      <c r="L11" s="45" t="s">
        <v>56</v>
      </c>
      <c r="M11" s="43" t="s">
        <v>29</v>
      </c>
      <c r="N11" s="43"/>
      <c r="O11" s="47" t="s">
        <v>21</v>
      </c>
    </row>
    <row r="12" spans="2:15" s="48" customFormat="1" ht="33.75" customHeight="1">
      <c r="B12" s="39" t="s">
        <v>20</v>
      </c>
      <c r="C12" s="40" t="str">
        <f>VLOOKUP(E12,'(참고) 과업범위 ID 정의'!$B$3:$C$39,2,FALSE)&amp; "-"&amp;VLOOKUP(F12,'(참고) 과업범위 ID 정의'!$D$3:$E$39,2,FALSE)&amp; "-"&amp;VLOOKUP(G12,'(참고) 과업범위 ID 정의'!$F$3:$G$39,2,FALSE)&amp;TEXT(B12,"000")</f>
        <v>USR-03-03(예시)</v>
      </c>
      <c r="D12" s="41" t="s">
        <v>31</v>
      </c>
      <c r="E12" s="42" t="s">
        <v>42</v>
      </c>
      <c r="F12" s="42" t="s">
        <v>57</v>
      </c>
      <c r="G12" s="43" t="s">
        <v>58</v>
      </c>
      <c r="H12" s="49" t="s">
        <v>59</v>
      </c>
      <c r="I12" s="44" t="s">
        <v>60</v>
      </c>
      <c r="J12" s="45" t="s">
        <v>26</v>
      </c>
      <c r="K12" s="45" t="s">
        <v>46</v>
      </c>
      <c r="L12" s="45" t="s">
        <v>56</v>
      </c>
      <c r="M12" s="43" t="s">
        <v>29</v>
      </c>
      <c r="N12" s="43"/>
      <c r="O12" s="47" t="s">
        <v>21</v>
      </c>
    </row>
    <row r="13" spans="2:15" s="48" customFormat="1" ht="33.75" customHeight="1">
      <c r="B13" s="39" t="s">
        <v>20</v>
      </c>
      <c r="C13" s="40" t="str">
        <f>VLOOKUP(E13,'(참고) 과업범위 ID 정의'!$B$3:$C$39,2,FALSE)&amp; "-"&amp;VLOOKUP(F13,'(참고) 과업범위 ID 정의'!$D$3:$E$39,2,FALSE)&amp; "-"&amp;VLOOKUP(G13,'(참고) 과업범위 ID 정의'!$F$3:$G$39,2,FALSE)&amp;TEXT(B13,"000")</f>
        <v>ADM-03-04(예시)</v>
      </c>
      <c r="D13" s="41" t="s">
        <v>31</v>
      </c>
      <c r="E13" s="42" t="s">
        <v>61</v>
      </c>
      <c r="F13" s="42" t="s">
        <v>57</v>
      </c>
      <c r="G13" s="43" t="s">
        <v>62</v>
      </c>
      <c r="H13" s="49" t="s">
        <v>63</v>
      </c>
      <c r="I13" s="44" t="s">
        <v>64</v>
      </c>
      <c r="J13" s="45" t="s">
        <v>26</v>
      </c>
      <c r="K13" s="45" t="s">
        <v>46</v>
      </c>
      <c r="L13" s="45" t="s">
        <v>56</v>
      </c>
      <c r="M13" s="43" t="s">
        <v>29</v>
      </c>
      <c r="N13" s="43"/>
      <c r="O13" s="47" t="s">
        <v>21</v>
      </c>
    </row>
    <row r="14" spans="2:15" s="48" customFormat="1" ht="49.5" customHeight="1">
      <c r="B14" s="39" t="s">
        <v>20</v>
      </c>
      <c r="C14" s="40" t="str">
        <f>VLOOKUP(E14,'(참고) 과업범위 ID 정의'!$B$3:$C$39,2,FALSE)&amp; "-"&amp;VLOOKUP(F14,'(참고) 과업범위 ID 정의'!$D$3:$E$39,2,FALSE)&amp; "-"&amp;VLOOKUP(G14,'(참고) 과업범위 ID 정의'!$F$3:$G$39,2,FALSE)&amp;TEXT(B14,"000")</f>
        <v>USR-03-06(예시)</v>
      </c>
      <c r="D14" s="41" t="s">
        <v>31</v>
      </c>
      <c r="E14" s="42" t="s">
        <v>42</v>
      </c>
      <c r="F14" s="42" t="s">
        <v>57</v>
      </c>
      <c r="G14" s="43" t="s">
        <v>57</v>
      </c>
      <c r="H14" s="49" t="s">
        <v>65</v>
      </c>
      <c r="I14" s="44" t="s">
        <v>66</v>
      </c>
      <c r="J14" s="45" t="s">
        <v>26</v>
      </c>
      <c r="K14" s="45" t="s">
        <v>67</v>
      </c>
      <c r="L14" s="45" t="s">
        <v>52</v>
      </c>
      <c r="M14" s="43" t="s">
        <v>29</v>
      </c>
      <c r="N14" s="46" t="s">
        <v>68</v>
      </c>
      <c r="O14" s="47" t="s">
        <v>21</v>
      </c>
    </row>
    <row r="15" spans="2:15" s="48" customFormat="1" ht="49.5" customHeight="1">
      <c r="B15" s="39" t="s">
        <v>20</v>
      </c>
      <c r="C15" s="40" t="str">
        <f>VLOOKUP(E15,'(참고) 과업범위 ID 정의'!$B$3:$C$39,2,FALSE)&amp; "-"&amp;VLOOKUP(F15,'(참고) 과업범위 ID 정의'!$D$3:$E$39,2,FALSE)&amp; "-"&amp;VLOOKUP(G15,'(참고) 과업범위 ID 정의'!$F$3:$G$39,2,FALSE)&amp;TEXT(B15,"000")</f>
        <v>USR-04-07(예시)</v>
      </c>
      <c r="D15" s="41" t="s">
        <v>31</v>
      </c>
      <c r="E15" s="42" t="s">
        <v>42</v>
      </c>
      <c r="F15" s="42" t="s">
        <v>69</v>
      </c>
      <c r="G15" s="43" t="s">
        <v>23</v>
      </c>
      <c r="H15" s="49" t="s">
        <v>70</v>
      </c>
      <c r="I15" s="44" t="s">
        <v>71</v>
      </c>
      <c r="J15" s="45" t="s">
        <v>26</v>
      </c>
      <c r="K15" s="45" t="s">
        <v>46</v>
      </c>
      <c r="L15" s="45" t="s">
        <v>52</v>
      </c>
      <c r="M15" s="43" t="s">
        <v>29</v>
      </c>
      <c r="N15" s="43"/>
      <c r="O15" s="47" t="s">
        <v>21</v>
      </c>
    </row>
    <row r="16" spans="2:15" s="59" customFormat="1" ht="14">
      <c r="B16" s="50"/>
      <c r="C16" s="51"/>
      <c r="D16" s="52"/>
      <c r="E16" s="53"/>
      <c r="F16" s="53"/>
      <c r="G16" s="54"/>
      <c r="H16" s="55"/>
      <c r="I16" s="56"/>
      <c r="J16" s="57"/>
      <c r="K16" s="57"/>
      <c r="L16" s="57"/>
      <c r="M16" s="54"/>
      <c r="N16" s="54"/>
      <c r="O16" s="58"/>
    </row>
    <row r="17" spans="2:15" s="5" customFormat="1" ht="14.25" customHeight="1">
      <c r="B17" s="37">
        <v>1</v>
      </c>
      <c r="C17" s="67"/>
      <c r="D17" s="8"/>
      <c r="E17" s="7" t="s">
        <v>169</v>
      </c>
      <c r="F17" s="94" t="s">
        <v>47</v>
      </c>
      <c r="G17" s="94" t="s">
        <v>47</v>
      </c>
      <c r="H17" s="9" t="s">
        <v>44</v>
      </c>
      <c r="I17" s="10"/>
      <c r="J17" s="11"/>
      <c r="K17" s="11"/>
      <c r="L17" s="11"/>
      <c r="M17" s="12"/>
      <c r="N17" s="12"/>
      <c r="O17" s="38"/>
    </row>
    <row r="18" spans="2:15" s="5" customFormat="1" ht="14.25" customHeight="1">
      <c r="B18" s="37">
        <v>2</v>
      </c>
      <c r="C18" s="67"/>
      <c r="D18" s="8"/>
      <c r="E18" s="7" t="s">
        <v>169</v>
      </c>
      <c r="F18" s="94" t="s">
        <v>53</v>
      </c>
      <c r="G18" s="94" t="s">
        <v>53</v>
      </c>
      <c r="H18" s="9" t="s">
        <v>54</v>
      </c>
      <c r="I18" s="64"/>
      <c r="J18" s="11"/>
      <c r="K18" s="11"/>
      <c r="L18" s="11"/>
      <c r="M18" s="12"/>
      <c r="N18" s="12"/>
      <c r="O18" s="38"/>
    </row>
    <row r="19" spans="2:15" s="5" customFormat="1" ht="14.25" customHeight="1">
      <c r="B19" s="37">
        <v>3</v>
      </c>
      <c r="C19" s="29"/>
      <c r="D19" s="8"/>
      <c r="E19" s="7" t="s">
        <v>169</v>
      </c>
      <c r="F19" s="94" t="s">
        <v>160</v>
      </c>
      <c r="G19" s="94" t="s">
        <v>160</v>
      </c>
      <c r="H19" s="62" t="s">
        <v>199</v>
      </c>
      <c r="I19" s="65"/>
      <c r="J19" s="63"/>
      <c r="K19" s="11"/>
      <c r="L19" s="11"/>
      <c r="M19" s="12"/>
      <c r="N19" s="12"/>
      <c r="O19" s="38"/>
    </row>
    <row r="20" spans="2:15" s="5" customFormat="1" ht="14.25" customHeight="1">
      <c r="B20" s="37">
        <v>4</v>
      </c>
      <c r="C20" s="67"/>
      <c r="D20" s="8"/>
      <c r="E20" s="7" t="s">
        <v>169</v>
      </c>
      <c r="F20" s="94" t="s">
        <v>160</v>
      </c>
      <c r="G20" s="94" t="s">
        <v>171</v>
      </c>
      <c r="H20" s="9" t="s">
        <v>200</v>
      </c>
      <c r="I20" s="66"/>
      <c r="J20" s="11"/>
      <c r="K20" s="11"/>
      <c r="L20" s="11"/>
      <c r="M20" s="12"/>
      <c r="N20" s="12"/>
      <c r="O20" s="38"/>
    </row>
    <row r="21" spans="2:15" s="5" customFormat="1" ht="14.25" customHeight="1">
      <c r="B21" s="37">
        <v>5</v>
      </c>
      <c r="C21" s="29"/>
      <c r="D21" s="8"/>
      <c r="E21" s="7" t="s">
        <v>169</v>
      </c>
      <c r="F21" s="94" t="s">
        <v>161</v>
      </c>
      <c r="G21" s="94" t="s">
        <v>172</v>
      </c>
      <c r="H21" s="9" t="s">
        <v>201</v>
      </c>
      <c r="I21" s="10"/>
      <c r="J21" s="11"/>
      <c r="K21" s="11"/>
      <c r="L21" s="11"/>
      <c r="M21" s="12"/>
      <c r="N21" s="60"/>
      <c r="O21" s="38"/>
    </row>
    <row r="22" spans="2:15" s="5" customFormat="1" ht="14.25" customHeight="1">
      <c r="B22" s="37">
        <v>6</v>
      </c>
      <c r="C22" s="29"/>
      <c r="D22" s="8"/>
      <c r="E22" s="7" t="s">
        <v>169</v>
      </c>
      <c r="F22" s="94" t="s">
        <v>161</v>
      </c>
      <c r="G22" s="94" t="s">
        <v>173</v>
      </c>
      <c r="H22" s="9" t="s">
        <v>202</v>
      </c>
      <c r="I22" s="10"/>
      <c r="J22" s="11"/>
      <c r="K22" s="11"/>
      <c r="L22" s="11"/>
      <c r="M22" s="12"/>
      <c r="N22" s="60"/>
      <c r="O22" s="38"/>
    </row>
    <row r="23" spans="2:15" s="5" customFormat="1" ht="14.25" customHeight="1">
      <c r="B23" s="37">
        <v>7</v>
      </c>
      <c r="C23" s="29"/>
      <c r="D23" s="8"/>
      <c r="E23" s="7" t="s">
        <v>169</v>
      </c>
      <c r="F23" s="94" t="s">
        <v>161</v>
      </c>
      <c r="G23" s="94" t="s">
        <v>174</v>
      </c>
      <c r="H23" s="9" t="s">
        <v>203</v>
      </c>
      <c r="I23" s="10"/>
      <c r="J23" s="11"/>
      <c r="K23" s="11"/>
      <c r="L23" s="11"/>
      <c r="M23" s="12"/>
      <c r="N23" s="61"/>
      <c r="O23" s="38"/>
    </row>
    <row r="24" spans="2:15" s="5" customFormat="1" ht="14.25" customHeight="1">
      <c r="B24" s="37">
        <v>8</v>
      </c>
      <c r="C24" s="29"/>
      <c r="D24" s="8"/>
      <c r="E24" s="7" t="s">
        <v>169</v>
      </c>
      <c r="F24" s="94" t="s">
        <v>161</v>
      </c>
      <c r="G24" s="94" t="s">
        <v>175</v>
      </c>
      <c r="H24" s="9" t="s">
        <v>204</v>
      </c>
      <c r="I24" s="10"/>
      <c r="J24" s="11"/>
      <c r="K24" s="11"/>
      <c r="L24" s="11"/>
      <c r="M24" s="12"/>
      <c r="N24" s="12"/>
      <c r="O24" s="38"/>
    </row>
    <row r="25" spans="2:15" s="5" customFormat="1" ht="14.25" customHeight="1">
      <c r="B25" s="37">
        <v>9</v>
      </c>
      <c r="C25" s="29"/>
      <c r="D25" s="8"/>
      <c r="E25" s="7" t="s">
        <v>169</v>
      </c>
      <c r="F25" s="94" t="s">
        <v>162</v>
      </c>
      <c r="G25" s="94" t="s">
        <v>176</v>
      </c>
      <c r="H25" s="9" t="s">
        <v>205</v>
      </c>
      <c r="I25" s="10"/>
      <c r="J25" s="11"/>
      <c r="K25" s="11"/>
      <c r="L25" s="11"/>
      <c r="M25" s="12"/>
      <c r="N25" s="12"/>
      <c r="O25" s="38"/>
    </row>
    <row r="26" spans="2:15" s="5" customFormat="1" ht="14.25" customHeight="1">
      <c r="B26" s="37">
        <v>10</v>
      </c>
      <c r="C26" s="29"/>
      <c r="D26" s="8"/>
      <c r="E26" s="7" t="s">
        <v>169</v>
      </c>
      <c r="F26" s="94" t="s">
        <v>162</v>
      </c>
      <c r="G26" s="94" t="s">
        <v>177</v>
      </c>
      <c r="H26" s="9" t="s">
        <v>206</v>
      </c>
      <c r="I26" s="10"/>
      <c r="J26" s="11"/>
      <c r="K26" s="11"/>
      <c r="L26" s="11"/>
      <c r="M26" s="12"/>
      <c r="N26" s="12"/>
      <c r="O26" s="38"/>
    </row>
    <row r="27" spans="2:15" s="5" customFormat="1" ht="14.25" customHeight="1">
      <c r="B27" s="37">
        <v>11</v>
      </c>
      <c r="C27" s="29"/>
      <c r="D27" s="8"/>
      <c r="E27" s="7" t="s">
        <v>169</v>
      </c>
      <c r="F27" s="94" t="s">
        <v>162</v>
      </c>
      <c r="G27" s="94" t="s">
        <v>178</v>
      </c>
      <c r="H27" s="9" t="s">
        <v>207</v>
      </c>
      <c r="I27" s="10"/>
      <c r="J27" s="11"/>
      <c r="K27" s="11"/>
      <c r="L27" s="11"/>
      <c r="M27" s="12"/>
      <c r="N27" s="12"/>
      <c r="O27" s="38"/>
    </row>
    <row r="28" spans="2:15" s="5" customFormat="1" ht="14.25" customHeight="1">
      <c r="B28" s="37">
        <v>12</v>
      </c>
      <c r="C28" s="29"/>
      <c r="D28" s="8"/>
      <c r="E28" s="7" t="s">
        <v>169</v>
      </c>
      <c r="F28" s="94" t="s">
        <v>162</v>
      </c>
      <c r="G28" s="94" t="s">
        <v>179</v>
      </c>
      <c r="H28" s="9" t="s">
        <v>208</v>
      </c>
      <c r="I28" s="10"/>
      <c r="J28" s="11"/>
      <c r="K28" s="11"/>
      <c r="L28" s="11"/>
      <c r="M28" s="12"/>
      <c r="N28" s="12"/>
      <c r="O28" s="38"/>
    </row>
    <row r="29" spans="2:15" s="5" customFormat="1" ht="14.25" customHeight="1">
      <c r="B29" s="37">
        <v>13</v>
      </c>
      <c r="C29" s="29"/>
      <c r="D29" s="8"/>
      <c r="E29" s="7" t="s">
        <v>169</v>
      </c>
      <c r="F29" s="94" t="s">
        <v>162</v>
      </c>
      <c r="G29" s="94" t="s">
        <v>180</v>
      </c>
      <c r="H29" s="9" t="s">
        <v>209</v>
      </c>
      <c r="I29" s="10"/>
      <c r="J29" s="11"/>
      <c r="K29" s="11"/>
      <c r="L29" s="11"/>
      <c r="M29" s="12"/>
      <c r="N29" s="12"/>
      <c r="O29" s="38"/>
    </row>
    <row r="30" spans="2:15" s="5" customFormat="1" ht="14.25" customHeight="1">
      <c r="B30" s="37">
        <v>14</v>
      </c>
      <c r="C30" s="29"/>
      <c r="D30" s="8"/>
      <c r="E30" s="7" t="s">
        <v>169</v>
      </c>
      <c r="F30" s="94" t="s">
        <v>163</v>
      </c>
      <c r="G30" s="94" t="s">
        <v>181</v>
      </c>
      <c r="H30" s="9" t="s">
        <v>210</v>
      </c>
      <c r="I30" s="10"/>
      <c r="J30" s="11"/>
      <c r="K30" s="11"/>
      <c r="L30" s="11"/>
      <c r="M30" s="12"/>
      <c r="N30" s="12"/>
      <c r="O30" s="38"/>
    </row>
    <row r="31" spans="2:15" s="5" customFormat="1" ht="14.25" customHeight="1">
      <c r="B31" s="37">
        <v>15</v>
      </c>
      <c r="C31" s="29"/>
      <c r="D31" s="8"/>
      <c r="E31" s="7" t="s">
        <v>169</v>
      </c>
      <c r="F31" s="94" t="s">
        <v>163</v>
      </c>
      <c r="G31" s="94" t="s">
        <v>182</v>
      </c>
      <c r="H31" s="9"/>
      <c r="I31" s="32"/>
      <c r="J31" s="11"/>
      <c r="K31" s="11"/>
      <c r="L31" s="11"/>
      <c r="M31" s="12"/>
      <c r="N31" s="12"/>
      <c r="O31" s="38"/>
    </row>
    <row r="32" spans="2:15" s="5" customFormat="1" ht="14.25" customHeight="1">
      <c r="B32" s="37">
        <v>16</v>
      </c>
      <c r="C32" s="29"/>
      <c r="D32" s="27"/>
      <c r="E32" s="7" t="s">
        <v>169</v>
      </c>
      <c r="F32" s="94" t="s">
        <v>163</v>
      </c>
      <c r="G32" s="94" t="s">
        <v>183</v>
      </c>
      <c r="H32" s="9"/>
      <c r="I32" s="10"/>
      <c r="J32" s="11"/>
      <c r="K32" s="11"/>
      <c r="L32" s="11"/>
      <c r="M32" s="12"/>
      <c r="N32" s="12"/>
      <c r="O32" s="38"/>
    </row>
    <row r="33" spans="2:15" s="5" customFormat="1" ht="14.25" customHeight="1">
      <c r="B33" s="37">
        <v>17</v>
      </c>
      <c r="C33" s="29"/>
      <c r="D33" s="8"/>
      <c r="E33" s="7" t="s">
        <v>169</v>
      </c>
      <c r="F33" s="94" t="s">
        <v>163</v>
      </c>
      <c r="G33" s="94" t="s">
        <v>184</v>
      </c>
      <c r="H33" s="9"/>
      <c r="I33" s="10"/>
      <c r="J33" s="11"/>
      <c r="K33" s="11"/>
      <c r="L33" s="11"/>
      <c r="M33" s="12"/>
      <c r="N33" s="12"/>
      <c r="O33" s="38"/>
    </row>
    <row r="34" spans="2:15" ht="14.25" customHeight="1">
      <c r="B34" s="37">
        <v>18</v>
      </c>
      <c r="C34" s="29"/>
      <c r="D34" s="8"/>
      <c r="E34" s="7" t="s">
        <v>169</v>
      </c>
      <c r="F34" s="94" t="s">
        <v>164</v>
      </c>
      <c r="G34" s="94" t="s">
        <v>185</v>
      </c>
      <c r="H34" s="9"/>
      <c r="I34" s="10"/>
      <c r="J34" s="11"/>
      <c r="K34" s="11"/>
      <c r="L34" s="11"/>
      <c r="M34" s="12"/>
      <c r="N34" s="12"/>
      <c r="O34" s="38"/>
    </row>
    <row r="35" spans="2:15" ht="14.25" customHeight="1">
      <c r="B35" s="37">
        <v>19</v>
      </c>
      <c r="C35" s="29"/>
      <c r="D35" s="8"/>
      <c r="E35" s="7" t="s">
        <v>169</v>
      </c>
      <c r="F35" s="94" t="s">
        <v>164</v>
      </c>
      <c r="G35" s="94" t="s">
        <v>186</v>
      </c>
      <c r="H35" s="9"/>
      <c r="I35" s="10"/>
      <c r="J35" s="11"/>
      <c r="K35" s="11"/>
      <c r="L35" s="11"/>
      <c r="M35" s="12"/>
      <c r="N35" s="12"/>
      <c r="O35" s="38"/>
    </row>
    <row r="36" spans="2:15" ht="28">
      <c r="B36" s="37">
        <v>20</v>
      </c>
      <c r="C36" s="29"/>
      <c r="D36" s="27"/>
      <c r="E36" s="7" t="s">
        <v>169</v>
      </c>
      <c r="F36" s="94" t="s">
        <v>164</v>
      </c>
      <c r="G36" s="94" t="s">
        <v>187</v>
      </c>
      <c r="H36" s="9"/>
      <c r="I36" s="10"/>
      <c r="J36" s="11"/>
      <c r="K36" s="11"/>
      <c r="L36" s="11"/>
      <c r="M36" s="12"/>
      <c r="N36" s="12"/>
      <c r="O36" s="38"/>
    </row>
    <row r="37" spans="2:15" ht="28">
      <c r="B37" s="37">
        <v>21</v>
      </c>
      <c r="C37" s="29"/>
      <c r="D37" s="27"/>
      <c r="E37" s="7" t="s">
        <v>169</v>
      </c>
      <c r="F37" s="94" t="s">
        <v>165</v>
      </c>
      <c r="G37" s="94" t="s">
        <v>188</v>
      </c>
      <c r="H37" s="9"/>
      <c r="I37" s="10"/>
      <c r="J37" s="11"/>
      <c r="K37" s="11"/>
      <c r="L37" s="11"/>
      <c r="M37" s="12"/>
      <c r="N37" s="12"/>
      <c r="O37" s="38"/>
    </row>
    <row r="38" spans="2:15" ht="16">
      <c r="B38" s="37">
        <v>22</v>
      </c>
      <c r="C38" s="29"/>
      <c r="D38" s="27"/>
      <c r="E38" s="7" t="s">
        <v>169</v>
      </c>
      <c r="F38" s="94" t="s">
        <v>166</v>
      </c>
      <c r="G38" s="94" t="s">
        <v>189</v>
      </c>
      <c r="H38" s="9"/>
      <c r="I38" s="10"/>
      <c r="J38" s="11"/>
      <c r="K38" s="11"/>
      <c r="L38" s="11"/>
      <c r="M38" s="12"/>
      <c r="N38" s="12"/>
      <c r="O38" s="38"/>
    </row>
    <row r="39" spans="2:15" ht="16">
      <c r="B39" s="37">
        <v>23</v>
      </c>
      <c r="C39" s="29"/>
      <c r="D39" s="27"/>
      <c r="E39" s="7" t="s">
        <v>169</v>
      </c>
      <c r="F39" s="94" t="s">
        <v>166</v>
      </c>
      <c r="G39" s="94" t="s">
        <v>190</v>
      </c>
      <c r="H39" s="9"/>
      <c r="I39" s="10"/>
      <c r="J39" s="11"/>
      <c r="K39" s="11"/>
      <c r="L39" s="11"/>
      <c r="M39" s="12"/>
      <c r="N39" s="12"/>
      <c r="O39" s="38"/>
    </row>
    <row r="40" spans="2:15" ht="16">
      <c r="B40" s="37">
        <v>24</v>
      </c>
      <c r="C40" s="29"/>
      <c r="D40" s="8"/>
      <c r="E40" s="7" t="s">
        <v>169</v>
      </c>
      <c r="F40" s="94" t="s">
        <v>166</v>
      </c>
      <c r="G40" s="94" t="s">
        <v>191</v>
      </c>
      <c r="H40" s="9"/>
      <c r="I40" s="10"/>
      <c r="J40" s="11"/>
      <c r="K40" s="11"/>
      <c r="L40" s="11"/>
      <c r="M40" s="12"/>
      <c r="N40" s="12"/>
      <c r="O40" s="38"/>
    </row>
    <row r="41" spans="2:15" ht="28">
      <c r="B41" s="37">
        <v>25</v>
      </c>
      <c r="C41" s="29"/>
      <c r="D41" s="8"/>
      <c r="E41" s="7" t="s">
        <v>169</v>
      </c>
      <c r="F41" s="94" t="s">
        <v>166</v>
      </c>
      <c r="G41" s="94" t="s">
        <v>192</v>
      </c>
      <c r="H41" s="9"/>
      <c r="I41" s="10"/>
      <c r="J41" s="11"/>
      <c r="K41" s="11"/>
      <c r="L41" s="11"/>
      <c r="M41" s="12"/>
      <c r="N41" s="12"/>
      <c r="O41" s="38"/>
    </row>
    <row r="42" spans="2:15" ht="28">
      <c r="B42" s="37">
        <v>26</v>
      </c>
      <c r="C42" s="29"/>
      <c r="D42" s="27"/>
      <c r="E42" s="7" t="s">
        <v>169</v>
      </c>
      <c r="F42" s="94" t="s">
        <v>167</v>
      </c>
      <c r="G42" s="94" t="s">
        <v>193</v>
      </c>
      <c r="H42" s="9"/>
      <c r="I42" s="10"/>
      <c r="J42" s="11"/>
      <c r="K42" s="11"/>
      <c r="L42" s="11"/>
      <c r="M42" s="12"/>
      <c r="N42" s="12"/>
      <c r="O42" s="38"/>
    </row>
    <row r="43" spans="2:15" ht="28">
      <c r="B43" s="37">
        <v>27</v>
      </c>
      <c r="C43" s="29"/>
      <c r="D43" s="8"/>
      <c r="E43" s="7" t="s">
        <v>169</v>
      </c>
      <c r="F43" s="94" t="s">
        <v>167</v>
      </c>
      <c r="G43" s="94" t="s">
        <v>194</v>
      </c>
      <c r="H43" s="9"/>
      <c r="I43" s="10"/>
      <c r="J43" s="11"/>
      <c r="K43" s="11"/>
      <c r="L43" s="11"/>
      <c r="M43" s="12"/>
      <c r="N43" s="12"/>
      <c r="O43" s="38"/>
    </row>
    <row r="44" spans="2:15" ht="16">
      <c r="B44" s="37">
        <v>28</v>
      </c>
      <c r="C44" s="29"/>
      <c r="D44" s="27"/>
      <c r="E44" s="7" t="s">
        <v>169</v>
      </c>
      <c r="F44" s="94" t="s">
        <v>167</v>
      </c>
      <c r="G44" s="94" t="s">
        <v>195</v>
      </c>
      <c r="H44" s="9"/>
      <c r="I44" s="30"/>
      <c r="J44" s="11"/>
      <c r="K44" s="11"/>
      <c r="L44" s="11"/>
      <c r="M44" s="12"/>
      <c r="N44" s="12"/>
      <c r="O44" s="38"/>
    </row>
    <row r="45" spans="2:15" ht="28">
      <c r="B45" s="37">
        <v>29</v>
      </c>
      <c r="C45" s="29"/>
      <c r="D45" s="27"/>
      <c r="E45" s="7" t="s">
        <v>169</v>
      </c>
      <c r="F45" s="94" t="s">
        <v>168</v>
      </c>
      <c r="G45" s="94" t="s">
        <v>196</v>
      </c>
      <c r="H45" s="9"/>
      <c r="I45" s="10"/>
      <c r="J45" s="11"/>
      <c r="K45" s="11"/>
      <c r="L45" s="11"/>
      <c r="M45" s="12"/>
      <c r="N45" s="12"/>
      <c r="O45" s="38"/>
    </row>
    <row r="46" spans="2:15" ht="28">
      <c r="B46" s="37">
        <v>30</v>
      </c>
      <c r="C46" s="29"/>
      <c r="D46" s="8"/>
      <c r="E46" s="7" t="s">
        <v>169</v>
      </c>
      <c r="F46" s="94" t="s">
        <v>168</v>
      </c>
      <c r="G46" s="94" t="s">
        <v>197</v>
      </c>
      <c r="H46" s="9"/>
      <c r="I46" s="10"/>
      <c r="J46" s="11"/>
      <c r="K46" s="11"/>
      <c r="L46" s="11"/>
      <c r="M46" s="12"/>
      <c r="N46" s="12"/>
      <c r="O46" s="38"/>
    </row>
    <row r="47" spans="2:15" ht="42">
      <c r="B47" s="37">
        <v>31</v>
      </c>
      <c r="C47" s="29"/>
      <c r="D47" s="27"/>
      <c r="E47" s="7" t="s">
        <v>169</v>
      </c>
      <c r="F47" s="94" t="s">
        <v>168</v>
      </c>
      <c r="G47" s="94" t="s">
        <v>198</v>
      </c>
      <c r="H47" s="9"/>
      <c r="I47" s="10"/>
      <c r="J47" s="11"/>
      <c r="K47" s="11"/>
      <c r="L47" s="11"/>
      <c r="M47" s="12"/>
      <c r="N47" s="12"/>
      <c r="O47" s="38"/>
    </row>
    <row r="48" spans="2:15" ht="16">
      <c r="B48" s="37">
        <v>32</v>
      </c>
      <c r="C48" s="29"/>
      <c r="D48" s="8"/>
      <c r="E48" s="7"/>
      <c r="F48" s="7"/>
      <c r="G48" s="26"/>
      <c r="H48" s="9"/>
      <c r="I48" s="10"/>
      <c r="J48" s="11"/>
      <c r="K48" s="11"/>
      <c r="L48" s="11"/>
      <c r="M48" s="12"/>
      <c r="N48" s="12"/>
      <c r="O48" s="38"/>
    </row>
    <row r="49" spans="2:15" ht="16">
      <c r="B49" s="37">
        <v>33</v>
      </c>
      <c r="C49" s="29"/>
      <c r="D49" s="8"/>
      <c r="E49" s="7"/>
      <c r="F49" s="7"/>
      <c r="G49" s="26"/>
      <c r="H49" s="9"/>
      <c r="I49" s="10"/>
      <c r="J49" s="11"/>
      <c r="K49" s="11"/>
      <c r="L49" s="11"/>
      <c r="M49" s="12"/>
      <c r="N49" s="12"/>
      <c r="O49" s="38"/>
    </row>
    <row r="50" spans="2:15" ht="16">
      <c r="B50" s="37">
        <v>34</v>
      </c>
      <c r="C50" s="29"/>
      <c r="D50" s="27"/>
      <c r="E50" s="7"/>
      <c r="F50" s="7"/>
      <c r="G50" s="26"/>
      <c r="H50" s="9"/>
      <c r="I50" s="10"/>
      <c r="J50" s="11"/>
      <c r="K50" s="11"/>
      <c r="L50" s="11"/>
      <c r="M50" s="12"/>
      <c r="N50" s="12"/>
      <c r="O50" s="38"/>
    </row>
    <row r="51" spans="2:15" ht="16">
      <c r="B51" s="37">
        <v>35</v>
      </c>
      <c r="C51" s="29"/>
      <c r="D51" s="8"/>
      <c r="E51" s="7"/>
      <c r="F51" s="7"/>
      <c r="G51" s="26"/>
      <c r="H51" s="9"/>
      <c r="I51" s="10"/>
      <c r="J51" s="11"/>
      <c r="K51" s="11"/>
      <c r="L51" s="11"/>
      <c r="M51" s="12"/>
      <c r="N51" s="12"/>
      <c r="O51" s="38"/>
    </row>
    <row r="52" spans="2:15" ht="16">
      <c r="B52" s="37">
        <v>36</v>
      </c>
      <c r="C52" s="29"/>
      <c r="D52" s="8"/>
      <c r="E52" s="7"/>
      <c r="F52" s="7"/>
      <c r="G52" s="26"/>
      <c r="H52" s="9"/>
      <c r="I52" s="10"/>
      <c r="J52" s="11"/>
      <c r="K52" s="11"/>
      <c r="L52" s="11"/>
      <c r="M52" s="12"/>
      <c r="N52" s="12"/>
      <c r="O52" s="38"/>
    </row>
    <row r="53" spans="2:15" ht="16">
      <c r="B53" s="37">
        <v>37</v>
      </c>
      <c r="C53" s="29"/>
      <c r="D53" s="27"/>
      <c r="E53" s="7"/>
      <c r="F53" s="7"/>
      <c r="G53" s="26"/>
      <c r="H53" s="9"/>
      <c r="I53" s="10"/>
      <c r="J53" s="11"/>
      <c r="K53" s="11"/>
      <c r="L53" s="11"/>
      <c r="M53" s="12"/>
      <c r="N53" s="12"/>
      <c r="O53" s="38"/>
    </row>
    <row r="54" spans="2:15" ht="16">
      <c r="B54" s="37">
        <v>38</v>
      </c>
      <c r="C54" s="29"/>
      <c r="D54" s="27"/>
      <c r="E54" s="7"/>
      <c r="F54" s="7"/>
      <c r="G54" s="26"/>
      <c r="H54" s="9"/>
      <c r="I54" s="10"/>
      <c r="J54" s="11"/>
      <c r="K54" s="11"/>
      <c r="L54" s="11"/>
      <c r="M54" s="12"/>
      <c r="N54" s="12"/>
      <c r="O54" s="38"/>
    </row>
    <row r="55" spans="2:15" ht="16">
      <c r="B55" s="37">
        <v>39</v>
      </c>
      <c r="C55" s="29"/>
      <c r="D55" s="8"/>
      <c r="E55" s="7"/>
      <c r="F55" s="7"/>
      <c r="G55" s="26"/>
      <c r="H55" s="9"/>
      <c r="I55" s="10"/>
      <c r="J55" s="11"/>
      <c r="K55" s="11"/>
      <c r="L55" s="11"/>
      <c r="M55" s="12"/>
      <c r="N55" s="12"/>
      <c r="O55" s="38"/>
    </row>
    <row r="56" spans="2:15" ht="16">
      <c r="B56" s="37">
        <v>40</v>
      </c>
      <c r="C56" s="29"/>
      <c r="D56" s="8"/>
      <c r="E56" s="7"/>
      <c r="F56" s="7"/>
      <c r="G56" s="26"/>
      <c r="H56" s="9"/>
      <c r="I56" s="32"/>
      <c r="J56" s="11"/>
      <c r="K56" s="11"/>
      <c r="L56" s="11"/>
      <c r="M56" s="12"/>
      <c r="N56" s="12"/>
      <c r="O56" s="38"/>
    </row>
    <row r="57" spans="2:15" ht="16">
      <c r="B57" s="37">
        <v>41</v>
      </c>
      <c r="C57" s="29"/>
      <c r="D57" s="8"/>
      <c r="E57" s="7"/>
      <c r="F57" s="7"/>
      <c r="G57" s="26"/>
      <c r="H57" s="9"/>
      <c r="I57" s="10"/>
      <c r="J57" s="11"/>
      <c r="K57" s="11"/>
      <c r="L57" s="11"/>
      <c r="M57" s="12"/>
      <c r="N57" s="12"/>
      <c r="O57" s="38"/>
    </row>
    <row r="58" spans="2:15" ht="16">
      <c r="B58" s="37">
        <v>42</v>
      </c>
      <c r="C58" s="29"/>
      <c r="D58" s="8"/>
      <c r="E58" s="7"/>
      <c r="F58" s="7"/>
      <c r="G58" s="26"/>
      <c r="H58" s="9"/>
      <c r="I58" s="10"/>
      <c r="J58" s="11"/>
      <c r="K58" s="11"/>
      <c r="L58" s="11"/>
      <c r="M58" s="12"/>
      <c r="N58" s="12"/>
      <c r="O58" s="38"/>
    </row>
    <row r="59" spans="2:15" ht="16">
      <c r="B59" s="37">
        <v>43</v>
      </c>
      <c r="C59" s="29"/>
      <c r="D59" s="8"/>
      <c r="E59" s="7"/>
      <c r="F59" s="7"/>
      <c r="G59" s="26"/>
      <c r="H59" s="9"/>
      <c r="I59" s="10"/>
      <c r="J59" s="11"/>
      <c r="K59" s="11"/>
      <c r="L59" s="11"/>
      <c r="M59" s="12"/>
      <c r="N59" s="12"/>
      <c r="O59" s="38"/>
    </row>
    <row r="60" spans="2:15" ht="16">
      <c r="B60" s="37">
        <v>44</v>
      </c>
      <c r="C60" s="29"/>
      <c r="D60" s="8"/>
      <c r="E60" s="7"/>
      <c r="F60" s="7"/>
      <c r="G60" s="26"/>
      <c r="H60" s="9"/>
      <c r="I60" s="10"/>
      <c r="J60" s="11"/>
      <c r="K60" s="11"/>
      <c r="L60" s="11"/>
      <c r="M60" s="12"/>
      <c r="N60" s="12"/>
      <c r="O60" s="38"/>
    </row>
    <row r="61" spans="2:15" ht="16">
      <c r="B61" s="37">
        <v>45</v>
      </c>
      <c r="C61" s="29"/>
      <c r="D61" s="8"/>
      <c r="E61" s="7"/>
      <c r="F61" s="7"/>
      <c r="G61" s="26"/>
      <c r="H61" s="9"/>
      <c r="I61" s="10"/>
      <c r="J61" s="11"/>
      <c r="K61" s="11"/>
      <c r="L61" s="11"/>
      <c r="M61" s="12"/>
      <c r="N61" s="12"/>
      <c r="O61" s="38"/>
    </row>
    <row r="62" spans="2:15" ht="16">
      <c r="B62" s="37">
        <v>46</v>
      </c>
      <c r="C62" s="29"/>
      <c r="D62" s="8"/>
      <c r="E62" s="7"/>
      <c r="F62" s="7"/>
      <c r="G62" s="26"/>
      <c r="H62" s="9"/>
      <c r="I62" s="10"/>
      <c r="J62" s="11"/>
      <c r="K62" s="11"/>
      <c r="L62" s="11"/>
      <c r="M62" s="12"/>
      <c r="N62" s="12"/>
      <c r="O62" s="38"/>
    </row>
    <row r="63" spans="2:15" ht="16">
      <c r="B63" s="37">
        <v>47</v>
      </c>
      <c r="C63" s="29"/>
      <c r="D63" s="8"/>
      <c r="E63" s="7"/>
      <c r="F63" s="7"/>
      <c r="G63" s="26"/>
      <c r="H63" s="9"/>
      <c r="I63" s="10"/>
      <c r="J63" s="11"/>
      <c r="K63" s="11"/>
      <c r="L63" s="11"/>
      <c r="M63" s="12"/>
      <c r="N63" s="12"/>
      <c r="O63" s="38"/>
    </row>
    <row r="64" spans="2:15" ht="16">
      <c r="B64" s="37">
        <v>48</v>
      </c>
      <c r="C64" s="29"/>
      <c r="D64" s="8"/>
      <c r="E64" s="7"/>
      <c r="F64" s="7"/>
      <c r="G64" s="26"/>
      <c r="H64" s="9"/>
      <c r="I64" s="10"/>
      <c r="J64" s="11"/>
      <c r="K64" s="11"/>
      <c r="L64" s="11"/>
      <c r="M64" s="12"/>
      <c r="N64" s="12"/>
      <c r="O64" s="38"/>
    </row>
    <row r="65" spans="2:15" ht="16">
      <c r="B65" s="37">
        <v>49</v>
      </c>
      <c r="C65" s="29"/>
      <c r="D65" s="8"/>
      <c r="E65" s="7"/>
      <c r="F65" s="7"/>
      <c r="G65" s="26"/>
      <c r="H65" s="9"/>
      <c r="I65" s="10"/>
      <c r="J65" s="11"/>
      <c r="K65" s="11"/>
      <c r="L65" s="11"/>
      <c r="M65" s="12"/>
      <c r="N65" s="12"/>
      <c r="O65" s="38"/>
    </row>
  </sheetData>
  <mergeCells count="11">
    <mergeCell ref="B4:B5"/>
    <mergeCell ref="E4:G4"/>
    <mergeCell ref="H4:H5"/>
    <mergeCell ref="I4:I5"/>
    <mergeCell ref="D4:D5"/>
    <mergeCell ref="C4:C5"/>
    <mergeCell ref="N4:N5"/>
    <mergeCell ref="O4:O5"/>
    <mergeCell ref="J4:K4"/>
    <mergeCell ref="L4:L5"/>
    <mergeCell ref="M4:M5"/>
  </mergeCells>
  <phoneticPr fontId="1" type="noConversion"/>
  <dataValidations count="3">
    <dataValidation type="list" allowBlank="1" showInputMessage="1" showErrorMessage="1" sqref="L6:L65" xr:uid="{00000000-0002-0000-0000-000000000000}">
      <formula1>"상,중,하"</formula1>
    </dataValidation>
    <dataValidation type="list" allowBlank="1" showInputMessage="1" showErrorMessage="1" sqref="M6:M65" xr:uid="{00000000-0002-0000-0000-000001000000}">
      <formula1>"수용,보류,기각,삭제"</formula1>
    </dataValidation>
    <dataValidation type="list" allowBlank="1" showInputMessage="1" showErrorMessage="1" sqref="O6:O65" xr:uid="{00000000-0002-0000-0000-000002000000}">
      <formula1>"신규,변경,보류,삭제,추가"</formula1>
    </dataValidation>
  </dataValidations>
  <pageMargins left="0.23622047244094491" right="0.23622047244094491" top="0.74803149606299213" bottom="0.74803149606299213" header="0.31496062992125984" footer="0.31496062992125984"/>
  <pageSetup paperSize="9" scale="38" fitToHeight="99" orientation="landscape" r:id="rId1"/>
  <headerFooter>
    <oddHeader>&amp;L통합 Repository 시스템 구축&amp;R요구사항정의서</oddHeader>
    <oddFooter>&amp;Lkt ds 개발센터_정연철_&amp;D&amp;R&amp;P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showInputMessage="1" showErrorMessage="1" xr:uid="{00000000-0002-0000-0000-000003000000}">
          <x14:formula1>
            <xm:f>'(참고) 과업범위 ID 정의'!$B$3:$B$8</xm:f>
          </x14:formula1>
          <xm:sqref>E57:E65</xm:sqref>
        </x14:dataValidation>
        <x14:dataValidation type="list" showInputMessage="1" showErrorMessage="1" xr:uid="{00000000-0002-0000-0000-000004000000}">
          <x14:formula1>
            <xm:f>'(참고) 과업범위 ID 정의'!$B$3:$B$9</xm:f>
          </x14:formula1>
          <xm:sqref>E6:E10</xm:sqref>
        </x14:dataValidation>
        <x14:dataValidation type="list" allowBlank="1" showInputMessage="1" showErrorMessage="1" xr:uid="{00000000-0002-0000-0000-000005000000}">
          <x14:formula1>
            <xm:f>'(참고) 과업범위 ID 정의'!$D$3:$D$21</xm:f>
          </x14:formula1>
          <xm:sqref>F63:F65</xm:sqref>
        </x14:dataValidation>
        <x14:dataValidation type="list" allowBlank="1" showInputMessage="1" showErrorMessage="1" xr:uid="{00000000-0002-0000-0000-000006000000}">
          <x14:formula1>
            <xm:f>'(참고) 과업범위 ID 정의'!$D$3:$D$20</xm:f>
          </x14:formula1>
          <xm:sqref>F6:F10</xm:sqref>
        </x14:dataValidation>
        <x14:dataValidation type="list" showInputMessage="1" showErrorMessage="1" xr:uid="{00000000-0002-0000-0000-000007000000}">
          <x14:formula1>
            <xm:f>'(참고) 과업범위 ID 정의'!$B$3:$B$7</xm:f>
          </x14:formula1>
          <xm:sqref>E11:E16 E48:E56</xm:sqref>
        </x14:dataValidation>
        <x14:dataValidation type="list" allowBlank="1" showInputMessage="1" showErrorMessage="1" xr:uid="{00000000-0002-0000-0000-000008000000}">
          <x14:formula1>
            <xm:f>'(참고) 과업범위 ID 정의'!$F$3:$F$39</xm:f>
          </x14:formula1>
          <xm:sqref>G6:G16 G48:G65</xm:sqref>
        </x14:dataValidation>
        <x14:dataValidation type="list" allowBlank="1" showInputMessage="1" showErrorMessage="1" xr:uid="{00000000-0002-0000-0000-000009000000}">
          <x14:formula1>
            <xm:f>'(참고) 요구사항유형분류'!$E$3:$E$14</xm:f>
          </x14:formula1>
          <xm:sqref>K6:K65</xm:sqref>
        </x14:dataValidation>
        <x14:dataValidation type="list" allowBlank="1" showInputMessage="1" showErrorMessage="1" xr:uid="{00000000-0002-0000-0000-00000A000000}">
          <x14:formula1>
            <xm:f>'(참고) 요구사항유형분류'!$C$3:$C$6</xm:f>
          </x14:formula1>
          <xm:sqref>J6:J65</xm:sqref>
        </x14:dataValidation>
        <x14:dataValidation type="list" allowBlank="1" showInputMessage="1" showErrorMessage="1" xr:uid="{00000000-0002-0000-0000-00000B000000}">
          <x14:formula1>
            <xm:f>'(참고) 요구사항유형분류'!$G$3:$G$6</xm:f>
          </x14:formula1>
          <xm:sqref>D6:D65</xm:sqref>
        </x14:dataValidation>
        <x14:dataValidation type="list" allowBlank="1" showInputMessage="1" showErrorMessage="1" xr:uid="{00000000-0002-0000-0000-00000C000000}">
          <x14:formula1>
            <xm:f>'(참고) 과업범위 ID 정의'!$D$3:$D$19</xm:f>
          </x14:formula1>
          <xm:sqref>F11:F16 F48:F62</xm:sqref>
        </x14:dataValidation>
        <x14:dataValidation type="list" showInputMessage="1" showErrorMessage="1" xr:uid="{CA9E1D4E-6435-4FB4-A967-0D83D43C1872}">
          <x14:formula1>
            <xm:f>'(참고) 과업범위 ID 정의'!$B$3:$B$12</xm:f>
          </x14:formula1>
          <xm:sqref>E17:E47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9"/>
  <sheetViews>
    <sheetView showGridLines="0" workbookViewId="0">
      <pane ySplit="2" topLeftCell="A3" activePane="bottomLeft" state="frozen"/>
      <selection pane="bottomLeft" activeCell="C9" sqref="C9"/>
    </sheetView>
  </sheetViews>
  <sheetFormatPr defaultRowHeight="14"/>
  <cols>
    <col min="1" max="1" width="1.9140625" customWidth="1"/>
    <col min="2" max="7" width="15.75" style="35" customWidth="1"/>
    <col min="8" max="9" width="15.75" customWidth="1"/>
  </cols>
  <sheetData>
    <row r="1" spans="1:22" ht="17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7.5">
      <c r="A2" s="2"/>
      <c r="B2" s="70" t="s">
        <v>72</v>
      </c>
      <c r="C2" s="71" t="s">
        <v>73</v>
      </c>
      <c r="D2" s="71" t="s">
        <v>74</v>
      </c>
      <c r="E2" s="71" t="s">
        <v>75</v>
      </c>
      <c r="F2" s="71" t="s">
        <v>76</v>
      </c>
      <c r="G2" s="71" t="s">
        <v>77</v>
      </c>
      <c r="H2" s="71" t="s">
        <v>78</v>
      </c>
      <c r="I2" s="72" t="s">
        <v>79</v>
      </c>
      <c r="L2" s="2"/>
    </row>
    <row r="3" spans="1:22" s="1" customFormat="1" ht="15" customHeight="1">
      <c r="A3" s="2"/>
      <c r="B3" s="15" t="s">
        <v>80</v>
      </c>
      <c r="C3" s="14" t="s">
        <v>81</v>
      </c>
      <c r="D3" s="15" t="s">
        <v>47</v>
      </c>
      <c r="E3" s="14" t="s">
        <v>82</v>
      </c>
      <c r="F3" s="15" t="s">
        <v>47</v>
      </c>
      <c r="G3" s="14" t="s">
        <v>82</v>
      </c>
      <c r="H3" s="13"/>
      <c r="I3" s="16"/>
      <c r="L3" s="2"/>
    </row>
    <row r="4" spans="1:22" s="1" customFormat="1" ht="15" customHeight="1">
      <c r="A4" s="2"/>
      <c r="B4" s="15" t="s">
        <v>83</v>
      </c>
      <c r="C4" s="14" t="s">
        <v>84</v>
      </c>
      <c r="D4" s="33" t="s">
        <v>85</v>
      </c>
      <c r="E4" s="14" t="s">
        <v>86</v>
      </c>
      <c r="F4" s="33" t="s">
        <v>53</v>
      </c>
      <c r="G4" s="14" t="s">
        <v>86</v>
      </c>
      <c r="H4" s="17"/>
      <c r="I4" s="4"/>
    </row>
    <row r="5" spans="1:22" s="1" customFormat="1" ht="15" customHeight="1">
      <c r="A5" s="2"/>
      <c r="B5" s="15" t="s">
        <v>87</v>
      </c>
      <c r="C5" s="14" t="s">
        <v>88</v>
      </c>
      <c r="D5" s="4" t="s">
        <v>57</v>
      </c>
      <c r="E5" s="14" t="s">
        <v>89</v>
      </c>
      <c r="F5" s="15" t="s">
        <v>58</v>
      </c>
      <c r="G5" s="14" t="s">
        <v>89</v>
      </c>
      <c r="H5" s="17"/>
      <c r="I5" s="3"/>
    </row>
    <row r="6" spans="1:22" s="1" customFormat="1" ht="15" customHeight="1">
      <c r="A6" s="2"/>
      <c r="B6" s="15" t="s">
        <v>90</v>
      </c>
      <c r="C6" s="14" t="s">
        <v>91</v>
      </c>
      <c r="D6" s="15" t="s">
        <v>92</v>
      </c>
      <c r="E6" s="14" t="s">
        <v>93</v>
      </c>
      <c r="F6" s="15" t="s">
        <v>62</v>
      </c>
      <c r="G6" s="14" t="s">
        <v>93</v>
      </c>
      <c r="H6" s="17"/>
      <c r="I6" s="3"/>
    </row>
    <row r="7" spans="1:22" s="1" customFormat="1" ht="15" customHeight="1">
      <c r="A7" s="2"/>
      <c r="B7" s="19" t="s">
        <v>94</v>
      </c>
      <c r="C7" s="14" t="s">
        <v>95</v>
      </c>
      <c r="D7" s="15" t="s">
        <v>96</v>
      </c>
      <c r="E7" s="14" t="s">
        <v>97</v>
      </c>
      <c r="F7" s="15" t="s">
        <v>98</v>
      </c>
      <c r="G7" s="14" t="s">
        <v>97</v>
      </c>
      <c r="H7" s="17"/>
      <c r="I7" s="4"/>
    </row>
    <row r="8" spans="1:22" s="1" customFormat="1" ht="15" customHeight="1">
      <c r="A8" s="2"/>
      <c r="B8" s="15" t="s">
        <v>99</v>
      </c>
      <c r="C8" s="18" t="s">
        <v>100</v>
      </c>
      <c r="D8" s="19" t="s">
        <v>101</v>
      </c>
      <c r="E8" s="14" t="s">
        <v>102</v>
      </c>
      <c r="F8" s="19" t="s">
        <v>57</v>
      </c>
      <c r="G8" s="14" t="s">
        <v>102</v>
      </c>
      <c r="H8" s="17"/>
      <c r="I8" s="4"/>
    </row>
    <row r="9" spans="1:22" s="1" customFormat="1" ht="15" customHeight="1">
      <c r="A9" s="2"/>
      <c r="B9" s="15" t="s">
        <v>170</v>
      </c>
      <c r="C9" s="18" t="s">
        <v>81</v>
      </c>
      <c r="D9" s="19" t="s">
        <v>103</v>
      </c>
      <c r="E9" s="14" t="s">
        <v>104</v>
      </c>
      <c r="F9" s="15" t="s">
        <v>23</v>
      </c>
      <c r="G9" s="14" t="s">
        <v>104</v>
      </c>
      <c r="H9" s="17"/>
      <c r="I9" s="4"/>
    </row>
    <row r="10" spans="1:22" s="1" customFormat="1" ht="15" customHeight="1">
      <c r="A10" s="2"/>
      <c r="B10" s="17"/>
      <c r="C10" s="18"/>
      <c r="D10" s="19" t="s">
        <v>33</v>
      </c>
      <c r="E10" s="14" t="s">
        <v>105</v>
      </c>
      <c r="F10" s="15" t="s">
        <v>106</v>
      </c>
      <c r="G10" s="14" t="s">
        <v>105</v>
      </c>
      <c r="H10" s="17"/>
      <c r="I10" s="4"/>
    </row>
    <row r="11" spans="1:22" s="1" customFormat="1" ht="15" customHeight="1">
      <c r="A11" s="2"/>
      <c r="B11" s="17"/>
      <c r="C11" s="18"/>
      <c r="D11" s="19" t="s">
        <v>107</v>
      </c>
      <c r="E11" s="14" t="s">
        <v>108</v>
      </c>
      <c r="F11" s="15" t="s">
        <v>109</v>
      </c>
      <c r="G11" s="14" t="s">
        <v>108</v>
      </c>
      <c r="H11" s="17"/>
      <c r="I11" s="3"/>
    </row>
    <row r="12" spans="1:22" s="1" customFormat="1" ht="15" customHeight="1">
      <c r="A12" s="2"/>
      <c r="B12" s="17"/>
      <c r="C12" s="18"/>
      <c r="D12" s="19" t="s">
        <v>110</v>
      </c>
      <c r="E12" s="14" t="s">
        <v>111</v>
      </c>
      <c r="F12" s="15" t="s">
        <v>48</v>
      </c>
      <c r="G12" s="14" t="s">
        <v>111</v>
      </c>
      <c r="H12" s="17"/>
      <c r="I12" s="3"/>
    </row>
    <row r="13" spans="1:22" s="1" customFormat="1" ht="15" customHeight="1">
      <c r="A13" s="2"/>
      <c r="B13" s="17"/>
      <c r="C13" s="18"/>
      <c r="D13" s="19" t="s">
        <v>112</v>
      </c>
      <c r="E13" s="14" t="s">
        <v>113</v>
      </c>
      <c r="F13" s="19" t="s">
        <v>96</v>
      </c>
      <c r="G13" s="14" t="s">
        <v>113</v>
      </c>
      <c r="H13" s="17"/>
      <c r="I13" s="3"/>
    </row>
    <row r="14" spans="1:22" s="1" customFormat="1" ht="15" customHeight="1">
      <c r="A14" s="2"/>
      <c r="B14" s="17"/>
      <c r="C14" s="18"/>
      <c r="D14" s="19" t="s">
        <v>22</v>
      </c>
      <c r="E14" s="14" t="s">
        <v>114</v>
      </c>
      <c r="F14" s="19" t="s">
        <v>34</v>
      </c>
      <c r="G14" s="14" t="s">
        <v>114</v>
      </c>
      <c r="H14" s="17"/>
      <c r="I14" s="4"/>
    </row>
    <row r="15" spans="1:22" s="1" customFormat="1" ht="15" customHeight="1">
      <c r="A15" s="2"/>
      <c r="B15" s="17"/>
      <c r="C15" s="18"/>
      <c r="D15" s="15" t="s">
        <v>115</v>
      </c>
      <c r="E15" s="14" t="s">
        <v>116</v>
      </c>
      <c r="F15" s="19" t="s">
        <v>117</v>
      </c>
      <c r="G15" s="14" t="s">
        <v>116</v>
      </c>
      <c r="H15" s="17"/>
      <c r="I15" s="3"/>
    </row>
    <row r="16" spans="1:22" s="1" customFormat="1" ht="15" customHeight="1">
      <c r="A16" s="2"/>
      <c r="B16" s="17"/>
      <c r="C16" s="18"/>
      <c r="D16" s="19" t="s">
        <v>99</v>
      </c>
      <c r="E16" s="14" t="s">
        <v>118</v>
      </c>
      <c r="F16" s="19" t="s">
        <v>119</v>
      </c>
      <c r="G16" s="14" t="s">
        <v>118</v>
      </c>
      <c r="H16" s="17"/>
      <c r="I16" s="4"/>
    </row>
    <row r="17" spans="1:9" s="1" customFormat="1" ht="15" customHeight="1">
      <c r="A17" s="2"/>
      <c r="B17" s="17"/>
      <c r="C17" s="18"/>
      <c r="D17" s="19"/>
      <c r="E17" s="14"/>
      <c r="F17" s="19" t="s">
        <v>120</v>
      </c>
      <c r="G17" s="14" t="s">
        <v>121</v>
      </c>
      <c r="H17" s="17"/>
      <c r="I17" s="4"/>
    </row>
    <row r="18" spans="1:9" s="1" customFormat="1" ht="15" customHeight="1">
      <c r="A18" s="2"/>
      <c r="B18" s="17"/>
      <c r="C18" s="18"/>
      <c r="D18" s="19"/>
      <c r="E18" s="14"/>
      <c r="F18" s="19" t="s">
        <v>103</v>
      </c>
      <c r="G18" s="14" t="s">
        <v>122</v>
      </c>
      <c r="H18" s="17"/>
      <c r="I18" s="4"/>
    </row>
    <row r="19" spans="1:9" s="1" customFormat="1" ht="15" customHeight="1">
      <c r="A19" s="2"/>
      <c r="B19" s="17"/>
      <c r="C19" s="18"/>
      <c r="D19" s="19"/>
      <c r="E19" s="14"/>
      <c r="F19" s="19" t="s">
        <v>33</v>
      </c>
      <c r="G19" s="14" t="s">
        <v>123</v>
      </c>
      <c r="H19" s="17"/>
      <c r="I19" s="4"/>
    </row>
    <row r="20" spans="1:9" s="1" customFormat="1" ht="15" customHeight="1">
      <c r="A20" s="2"/>
      <c r="B20" s="17"/>
      <c r="C20" s="18"/>
      <c r="D20" s="19"/>
      <c r="E20" s="14"/>
      <c r="F20" s="19" t="s">
        <v>124</v>
      </c>
      <c r="G20" s="14" t="s">
        <v>125</v>
      </c>
      <c r="H20" s="17"/>
      <c r="I20" s="4"/>
    </row>
    <row r="21" spans="1:9" ht="15" customHeight="1">
      <c r="B21" s="34"/>
      <c r="C21" s="34"/>
      <c r="D21" s="19"/>
      <c r="E21" s="14"/>
      <c r="F21" s="19" t="s">
        <v>107</v>
      </c>
      <c r="G21" s="14" t="s">
        <v>126</v>
      </c>
      <c r="H21" s="28"/>
      <c r="I21" s="28"/>
    </row>
    <row r="22" spans="1:9" ht="15" customHeight="1">
      <c r="B22" s="34"/>
      <c r="C22" s="34"/>
      <c r="E22" s="14"/>
      <c r="F22" s="19" t="s">
        <v>110</v>
      </c>
      <c r="G22" s="14" t="s">
        <v>127</v>
      </c>
      <c r="H22" s="28"/>
      <c r="I22" s="28"/>
    </row>
    <row r="23" spans="1:9" ht="15" customHeight="1">
      <c r="B23" s="34"/>
      <c r="C23" s="34"/>
      <c r="D23" s="19"/>
      <c r="E23" s="14"/>
      <c r="F23" s="19" t="s">
        <v>128</v>
      </c>
      <c r="G23" s="14" t="s">
        <v>129</v>
      </c>
      <c r="H23" s="28"/>
      <c r="I23" s="28"/>
    </row>
    <row r="24" spans="1:9" ht="15" customHeight="1">
      <c r="B24" s="34"/>
      <c r="C24" s="34"/>
      <c r="D24" s="15"/>
      <c r="E24" s="14"/>
      <c r="F24" s="19" t="s">
        <v>130</v>
      </c>
      <c r="G24" s="14" t="s">
        <v>131</v>
      </c>
      <c r="H24" s="28"/>
      <c r="I24" s="28"/>
    </row>
    <row r="25" spans="1:9" ht="15" customHeight="1">
      <c r="B25" s="34"/>
      <c r="C25" s="34"/>
      <c r="D25" s="15"/>
      <c r="E25" s="14"/>
      <c r="F25" s="15" t="s">
        <v>132</v>
      </c>
      <c r="G25" s="14" t="s">
        <v>133</v>
      </c>
      <c r="H25" s="28"/>
      <c r="I25" s="28"/>
    </row>
    <row r="26" spans="1:9" ht="15" customHeight="1">
      <c r="B26" s="34"/>
      <c r="C26" s="34"/>
      <c r="D26" s="15"/>
      <c r="E26" s="14"/>
      <c r="F26" s="15" t="s">
        <v>134</v>
      </c>
      <c r="G26" s="14" t="s">
        <v>135</v>
      </c>
      <c r="H26" s="28"/>
      <c r="I26" s="28"/>
    </row>
    <row r="27" spans="1:9" ht="15" customHeight="1">
      <c r="B27" s="34"/>
      <c r="C27" s="34"/>
      <c r="D27" s="15"/>
      <c r="E27" s="14"/>
      <c r="F27" s="19"/>
      <c r="G27" s="14"/>
      <c r="H27" s="28"/>
      <c r="I27" s="28"/>
    </row>
    <row r="28" spans="1:9" ht="15" customHeight="1">
      <c r="B28" s="34"/>
      <c r="C28" s="34"/>
      <c r="D28" s="15"/>
      <c r="E28" s="14"/>
      <c r="F28" s="19"/>
      <c r="G28" s="14"/>
      <c r="H28" s="28"/>
      <c r="I28" s="28"/>
    </row>
    <row r="29" spans="1:9" ht="15" customHeight="1">
      <c r="B29" s="34"/>
      <c r="C29" s="34"/>
      <c r="D29" s="34"/>
      <c r="E29" s="34"/>
      <c r="F29" s="15"/>
      <c r="G29" s="14"/>
      <c r="H29" s="28"/>
      <c r="I29" s="28"/>
    </row>
    <row r="30" spans="1:9" ht="15" customHeight="1">
      <c r="B30" s="34"/>
      <c r="C30" s="34"/>
      <c r="D30" s="34"/>
      <c r="E30" s="34"/>
      <c r="F30" s="15"/>
      <c r="G30" s="14"/>
      <c r="H30" s="28"/>
      <c r="I30" s="28"/>
    </row>
    <row r="31" spans="1:9" ht="15" customHeight="1">
      <c r="B31" s="34"/>
      <c r="C31" s="34"/>
      <c r="D31" s="34"/>
      <c r="E31" s="34"/>
      <c r="F31" s="15"/>
      <c r="G31" s="14"/>
      <c r="H31" s="28"/>
      <c r="I31" s="28"/>
    </row>
    <row r="32" spans="1:9" ht="15" customHeight="1">
      <c r="B32" s="34"/>
      <c r="C32" s="34"/>
      <c r="D32" s="34"/>
      <c r="E32" s="34"/>
      <c r="F32" s="19"/>
      <c r="G32" s="14"/>
      <c r="H32" s="28"/>
      <c r="I32" s="28"/>
    </row>
    <row r="33" spans="2:9" ht="15" customHeight="1">
      <c r="B33" s="34"/>
      <c r="C33" s="34"/>
      <c r="D33" s="34"/>
      <c r="E33" s="34"/>
      <c r="F33" s="19"/>
      <c r="G33" s="14"/>
      <c r="H33" s="28"/>
      <c r="I33" s="28"/>
    </row>
    <row r="34" spans="2:9" ht="15" customHeight="1">
      <c r="B34" s="34"/>
      <c r="C34" s="34"/>
      <c r="D34" s="34"/>
      <c r="E34" s="34"/>
      <c r="F34" s="19"/>
      <c r="G34" s="14"/>
      <c r="H34" s="28"/>
      <c r="I34" s="28"/>
    </row>
    <row r="35" spans="2:9" ht="15" customHeight="1">
      <c r="B35" s="34"/>
      <c r="C35" s="34"/>
      <c r="D35" s="34"/>
      <c r="E35" s="34"/>
      <c r="F35" s="15"/>
      <c r="G35" s="14"/>
      <c r="H35" s="28"/>
      <c r="I35" s="28"/>
    </row>
    <row r="36" spans="2:9" ht="15" customHeight="1">
      <c r="B36" s="34"/>
      <c r="C36" s="34"/>
      <c r="D36" s="34"/>
      <c r="E36" s="34"/>
      <c r="F36" s="15"/>
      <c r="G36" s="14"/>
      <c r="H36" s="28"/>
      <c r="I36" s="28"/>
    </row>
    <row r="37" spans="2:9" ht="15" customHeight="1">
      <c r="B37" s="34"/>
      <c r="C37" s="34"/>
      <c r="D37" s="34"/>
      <c r="E37" s="34"/>
      <c r="F37" s="15"/>
      <c r="G37" s="14"/>
      <c r="H37" s="28"/>
      <c r="I37" s="28"/>
    </row>
    <row r="38" spans="2:9" ht="15" customHeight="1">
      <c r="B38" s="34"/>
      <c r="C38" s="34"/>
      <c r="D38" s="34"/>
      <c r="E38" s="34"/>
      <c r="F38" s="15"/>
      <c r="G38" s="14"/>
      <c r="H38" s="28"/>
      <c r="I38" s="28"/>
    </row>
    <row r="39" spans="2:9" ht="15" customHeight="1">
      <c r="B39" s="34"/>
      <c r="C39" s="34"/>
      <c r="D39" s="34"/>
      <c r="E39" s="34"/>
      <c r="F39" s="15"/>
      <c r="G39" s="14"/>
      <c r="H39" s="28"/>
      <c r="I39" s="28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1" orientation="landscape" verticalDpi="0" r:id="rId1"/>
  <headerFooter>
    <oddHeader>&amp;L통합 Repository 시스템 구축&amp;R요구사항정의서</oddHeader>
    <oddFooter>&amp;Lkt ds 개발센터_정연철_&amp;D&amp;R&amp;P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4"/>
  <sheetViews>
    <sheetView showGridLines="0" workbookViewId="0">
      <selection activeCell="G13" sqref="G13"/>
    </sheetView>
  </sheetViews>
  <sheetFormatPr defaultColWidth="8.9140625" defaultRowHeight="17.5"/>
  <cols>
    <col min="1" max="1" width="2.58203125" style="20" customWidth="1"/>
    <col min="2" max="2" width="12.4140625" style="20" bestFit="1" customWidth="1"/>
    <col min="3" max="3" width="15.33203125" style="20" bestFit="1" customWidth="1"/>
    <col min="4" max="6" width="12.4140625" style="20" bestFit="1" customWidth="1"/>
    <col min="7" max="7" width="15.33203125" style="20" bestFit="1" customWidth="1"/>
    <col min="8" max="16384" width="8.9140625" style="20"/>
  </cols>
  <sheetData>
    <row r="2" spans="2:7">
      <c r="B2" s="70" t="s">
        <v>136</v>
      </c>
      <c r="C2" s="72" t="s">
        <v>137</v>
      </c>
      <c r="D2" s="70" t="s">
        <v>136</v>
      </c>
      <c r="E2" s="72" t="s">
        <v>137</v>
      </c>
      <c r="F2" s="70" t="s">
        <v>138</v>
      </c>
      <c r="G2" s="72" t="s">
        <v>137</v>
      </c>
    </row>
    <row r="3" spans="2:7">
      <c r="B3" s="89" t="s">
        <v>139</v>
      </c>
      <c r="C3" s="21" t="s">
        <v>140</v>
      </c>
      <c r="D3" s="91" t="s">
        <v>141</v>
      </c>
      <c r="E3" s="22" t="s">
        <v>142</v>
      </c>
      <c r="F3" s="89" t="s">
        <v>139</v>
      </c>
      <c r="G3" s="21" t="s">
        <v>143</v>
      </c>
    </row>
    <row r="4" spans="2:7">
      <c r="B4" s="89"/>
      <c r="C4" s="23" t="s">
        <v>144</v>
      </c>
      <c r="D4" s="92"/>
      <c r="E4" s="24" t="s">
        <v>145</v>
      </c>
      <c r="F4" s="89"/>
      <c r="G4" s="23" t="s">
        <v>146</v>
      </c>
    </row>
    <row r="5" spans="2:7">
      <c r="B5" s="89"/>
      <c r="C5" s="23" t="s">
        <v>147</v>
      </c>
      <c r="D5" s="92"/>
      <c r="E5" s="24" t="s">
        <v>148</v>
      </c>
      <c r="F5" s="89"/>
      <c r="G5" s="23" t="s">
        <v>31</v>
      </c>
    </row>
    <row r="6" spans="2:7">
      <c r="B6" s="90"/>
      <c r="C6" s="23" t="s">
        <v>149</v>
      </c>
      <c r="D6" s="92"/>
      <c r="E6" s="24" t="s">
        <v>150</v>
      </c>
      <c r="F6" s="90"/>
      <c r="G6" s="23" t="s">
        <v>151</v>
      </c>
    </row>
    <row r="7" spans="2:7">
      <c r="B7" s="25"/>
      <c r="C7" s="25"/>
      <c r="D7" s="92"/>
      <c r="E7" s="24" t="s">
        <v>152</v>
      </c>
    </row>
    <row r="8" spans="2:7">
      <c r="B8" s="25"/>
      <c r="C8" s="25"/>
      <c r="D8" s="92"/>
      <c r="E8" s="24" t="s">
        <v>153</v>
      </c>
    </row>
    <row r="9" spans="2:7">
      <c r="B9" s="25"/>
      <c r="C9" s="25"/>
      <c r="D9" s="92"/>
      <c r="E9" s="24" t="s">
        <v>154</v>
      </c>
    </row>
    <row r="10" spans="2:7">
      <c r="B10" s="25"/>
      <c r="C10" s="25"/>
      <c r="D10" s="92"/>
      <c r="E10" s="24" t="s">
        <v>155</v>
      </c>
    </row>
    <row r="11" spans="2:7">
      <c r="B11" s="25"/>
      <c r="C11" s="25"/>
      <c r="D11" s="92"/>
      <c r="E11" s="24" t="s">
        <v>156</v>
      </c>
    </row>
    <row r="12" spans="2:7">
      <c r="B12" s="25"/>
      <c r="C12" s="25"/>
      <c r="D12" s="92"/>
      <c r="E12" s="24" t="s">
        <v>157</v>
      </c>
    </row>
    <row r="13" spans="2:7">
      <c r="B13" s="25"/>
      <c r="C13" s="25"/>
      <c r="D13" s="92"/>
      <c r="E13" s="24" t="s">
        <v>158</v>
      </c>
    </row>
    <row r="14" spans="2:7">
      <c r="B14" s="25"/>
      <c r="C14" s="25"/>
      <c r="D14" s="93"/>
      <c r="E14" s="24" t="s">
        <v>159</v>
      </c>
    </row>
  </sheetData>
  <mergeCells count="3">
    <mergeCell ref="B3:B6"/>
    <mergeCell ref="D3:D14"/>
    <mergeCell ref="F3:F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Header>&amp;L통합 Repository 시스템 구축&amp;R요구사항정의서</oddHeader>
    <oddFooter>&amp;Lkt ds 개발센터_정연철_&amp;D&amp;R&amp;P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AE4280BA0073646A4933C2E85F11A63" ma:contentTypeVersion="3" ma:contentTypeDescription="새 문서를 만듭니다." ma:contentTypeScope="" ma:versionID="19a859a1ebf1c1fcf330f7e274a4229a">
  <xsd:schema xmlns:xsd="http://www.w3.org/2001/XMLSchema" xmlns:xs="http://www.w3.org/2001/XMLSchema" xmlns:p="http://schemas.microsoft.com/office/2006/metadata/properties" xmlns:ns2="16203f9f-02d7-4444-bca7-e18bebf6bdea" targetNamespace="http://schemas.microsoft.com/office/2006/metadata/properties" ma:root="true" ma:fieldsID="4675a203a4870a5e6a13658661b1285a" ns2:_="">
    <xsd:import namespace="16203f9f-02d7-4444-bca7-e18bebf6bd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03f9f-02d7-4444-bca7-e18bebf6b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CB5964-2CCD-4211-96D8-2D1D199CE2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039A6E-E296-4120-A56D-CD514562C35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2F36692-5F66-41A9-B6D8-42776291F3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203f9f-02d7-4444-bca7-e18bebf6b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(템플릿) 요구사항 정의서</vt:lpstr>
      <vt:lpstr>(참고) 과업범위 ID 정의</vt:lpstr>
      <vt:lpstr>(참고) 요구사항유형분류</vt:lpstr>
      <vt:lpstr>'(템플릿) 요구사항 정의서'!Print_Titles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SQI</dc:creator>
  <cp:keywords/>
  <dc:description/>
  <cp:lastModifiedBy>User</cp:lastModifiedBy>
  <cp:revision/>
  <dcterms:created xsi:type="dcterms:W3CDTF">1997-01-10T04:21:27Z</dcterms:created>
  <dcterms:modified xsi:type="dcterms:W3CDTF">2026-07-08T08:53:16Z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0x0101007AE4280BA0073646A4933C2E85F11A63</vt:lpwstr>
  </property>
  <property fmtid="{D5CDD505-2E9C-101B-9397-08002B2CF9AE}" pid="3" name="Order">
    <vt:r8>6600</vt:r8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